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Your Candle" sheetId="2" state="visible" r:id="rId2"/>
    <sheet name="Costs &amp; Price" sheetId="3" state="visible" r:id="rId3"/>
    <sheet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"/>
    <numFmt numFmtId="166" formatCode="0.0%"/>
    <numFmt numFmtId="167" formatCode="0.0000"/>
  </numFmts>
  <fonts count="8">
    <font>
      <name val="Calibri"/>
      <family val="2"/>
      <color theme="1"/>
      <sz val="11"/>
      <scheme val="minor"/>
    </font>
    <font>
      <b val="1"/>
      <color rgb="00263238"/>
      <sz val="16"/>
    </font>
    <font>
      <i val="1"/>
      <color rgb="00546E7A"/>
      <sz val="9"/>
    </font>
    <font>
      <b val="1"/>
      <color rgb="00FFFFFF"/>
      <sz val="12"/>
    </font>
    <font>
      <b val="1"/>
    </font>
    <font>
      <b val="1"/>
      <color rgb="00C62828"/>
      <sz val="10"/>
    </font>
    <font>
      <b val="1"/>
      <sz val="13"/>
    </font>
    <font>
      <b val="1"/>
      <color rgb="00C62828"/>
      <sz val="12"/>
    </font>
  </fonts>
  <fills count="7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FFF8E1"/>
      </patternFill>
    </fill>
    <fill>
      <patternFill patternType="solid">
        <fgColor rgb="00F1F3F4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3" borderId="1" pivotButton="0" quotePrefix="0" xfId="0"/>
    <xf numFmtId="0" fontId="0" fillId="4" borderId="0" pivotButton="0" quotePrefix="0" xfId="0"/>
    <xf numFmtId="164" fontId="0" fillId="4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165" fontId="0" fillId="3" borderId="1" pivotButton="0" quotePrefix="0" xfId="0"/>
    <xf numFmtId="2" fontId="0" fillId="5" borderId="1" pivotButton="0" quotePrefix="0" xfId="0"/>
    <xf numFmtId="165" fontId="4" fillId="4" borderId="1" pivotButton="0" quotePrefix="0" xfId="0"/>
    <xf numFmtId="166" fontId="0" fillId="3" borderId="1" pivotButton="0" quotePrefix="0" xfId="0"/>
    <xf numFmtId="0" fontId="5" fillId="6" borderId="2" pivotButton="0" quotePrefix="0" xfId="0"/>
    <xf numFmtId="165" fontId="6" fillId="4" borderId="1" pivotButton="0" quotePrefix="0" xfId="0"/>
    <xf numFmtId="165" fontId="0" fillId="4" borderId="1" pivotButton="0" quotePrefix="0" xfId="0"/>
    <xf numFmtId="166" fontId="4" fillId="4" borderId="1" pivotButton="0" quotePrefix="0" xfId="0"/>
    <xf numFmtId="1" fontId="0" fillId="3" borderId="1" pivotButton="0" quotePrefix="0" xfId="0"/>
    <xf numFmtId="166" fontId="0" fillId="5" borderId="1" pivotButton="0" quotePrefix="0" xfId="0"/>
    <xf numFmtId="2" fontId="0" fillId="3" borderId="1" pivotButton="0" quotePrefix="0" xfId="0"/>
    <xf numFmtId="167" fontId="0" fillId="4" borderId="1" pivotButton="0" quotePrefix="0" xfId="0"/>
    <xf numFmtId="2" fontId="0" fillId="4" borderId="1" pivotButton="0" quotePrefix="0" xfId="0"/>
    <xf numFmtId="2" fontId="6" fillId="4" borderId="1" pivotButton="0" quotePrefix="0" xfId="0"/>
    <xf numFmtId="2" fontId="4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6" customWidth="1" min="3" max="3"/>
    <col width="62" customWidth="1" min="4" max="4"/>
  </cols>
  <sheetData>
    <row r="1">
      <c r="A1" s="1" t="inlineStr">
        <is>
          <t>Candle Batch &amp; Pricing Calculator</t>
        </is>
      </c>
    </row>
    <row r="2">
      <c r="A2" s="2" t="inlineStr">
        <is>
          <t>Work out exactly how much wax and fragrance to melt, what each candle costs you, and what to charge.</t>
        </is>
      </c>
    </row>
    <row r="4">
      <c r="A4" s="3" t="inlineStr">
        <is>
          <t>First, two quick settings</t>
        </is>
      </c>
      <c r="B4" s="4" t="n"/>
      <c r="C4" s="4" t="n"/>
      <c r="D4" s="4" t="n"/>
    </row>
    <row r="5">
      <c r="A5" t="inlineStr">
        <is>
          <t>I weigh things in</t>
        </is>
      </c>
      <c r="B5" s="5" t="inlineStr">
        <is>
          <t>grams</t>
        </is>
      </c>
      <c r="D5" s="2" t="inlineStr">
        <is>
          <t>Everything below switches to match.</t>
        </is>
      </c>
    </row>
    <row r="6">
      <c r="A6" t="inlineStr">
        <is>
          <t>Currency symbol</t>
        </is>
      </c>
      <c r="B6" s="5" t="inlineStr">
        <is>
          <t>$</t>
        </is>
      </c>
      <c r="D6" s="2" t="inlineStr">
        <is>
          <t>Just for labels. Nothing is converted.</t>
        </is>
      </c>
    </row>
    <row r="7">
      <c r="A7" t="inlineStr">
        <is>
          <t>Short unit label</t>
        </is>
      </c>
      <c r="B7" s="6">
        <f>IF($B$5="grams","g","oz")</f>
        <v/>
      </c>
      <c r="D7" s="2" t="inlineStr">
        <is>
          <t>These two lines do the unit switching. Leave them as they are.</t>
        </is>
      </c>
    </row>
    <row r="8">
      <c r="A8" t="inlineStr">
        <is>
          <t>Grams in one of your units</t>
        </is>
      </c>
      <c r="B8" s="7">
        <f>IF($B$5="grams",1,28.349523125)</f>
        <v/>
      </c>
    </row>
    <row r="10">
      <c r="A10" s="3" t="inlineStr">
        <is>
          <t>The one thing that trips people up</t>
        </is>
      </c>
      <c r="B10" s="4" t="n"/>
      <c r="C10" s="4" t="n"/>
      <c r="D10" s="4" t="n"/>
    </row>
    <row r="11">
      <c r="A11" s="8" t="inlineStr">
        <is>
          <t>Fragrance load and fragrance content are different numbers.</t>
        </is>
      </c>
    </row>
    <row r="12">
      <c r="A12" t="inlineStr">
        <is>
          <t>Fragrance LOAD is a percentage of the wax on its own.</t>
        </is>
      </c>
    </row>
    <row r="13">
      <c r="A13" t="inlineStr">
        <is>
          <t>Fragrance CONTENT is a percentage of the wax and fragrance added together.</t>
        </is>
      </c>
    </row>
    <row r="14">
      <c r="A14" t="inlineStr">
        <is>
          <t>Put 20 g of fragrance into 200 g of wax and you have a 10% load — but 9.09% content (20 out of 220 g).</t>
        </is>
      </c>
    </row>
    <row r="15">
      <c r="A15" s="8" t="inlineStr">
        <is>
          <t>Same candle. Two numbers. Use whichever your recipe or your wax sheet uses — this sheet always shows you both.</t>
        </is>
      </c>
    </row>
    <row r="17">
      <c r="A17" s="3" t="inlineStr">
        <is>
          <t>How to measure your jar</t>
        </is>
      </c>
      <c r="B17" s="4" t="n"/>
      <c r="C17" s="4" t="n"/>
      <c r="D17" s="4" t="n"/>
    </row>
    <row r="18">
      <c r="A18" t="inlineStr">
        <is>
          <t>1. Put your empty jar on the scale and zero it.</t>
        </is>
      </c>
    </row>
    <row r="19">
      <c r="A19" t="inlineStr">
        <is>
          <t>2. Fill it with water to the height you want the wax to reach, leaving room for the lid.</t>
        </is>
      </c>
    </row>
    <row r="20">
      <c r="A20" t="inlineStr">
        <is>
          <t>3. Write that water weight down. That is the number this sheet starts from.</t>
        </is>
      </c>
    </row>
    <row r="22">
      <c r="A22" s="3" t="inlineStr">
        <is>
          <t>Colour key</t>
        </is>
      </c>
      <c r="B22" s="4" t="n"/>
      <c r="C22" s="4" t="n"/>
      <c r="D22" s="4" t="n"/>
    </row>
    <row r="23">
      <c r="A23" t="inlineStr">
        <is>
          <t>Type in these</t>
        </is>
      </c>
      <c r="B23" s="5" t="n"/>
    </row>
    <row r="24">
      <c r="A24" t="inlineStr">
        <is>
          <t>These work themselves out — don't type over them</t>
        </is>
      </c>
      <c r="B24" s="9" t="n"/>
    </row>
    <row r="25">
      <c r="A25" t="inlineStr">
        <is>
          <t>Starting assumptions you can change</t>
        </is>
      </c>
      <c r="B25" s="10" t="n"/>
    </row>
  </sheetData>
  <dataValidations count="1">
    <dataValidation sqref="B5" showDropDown="0" showInputMessage="0" showErrorMessage="0" allowBlank="1" type="list">
      <formula1>"grams,ounces"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8" customWidth="1" min="3" max="3"/>
    <col width="62" customWidth="1" min="4" max="4"/>
  </cols>
  <sheetData>
    <row r="1">
      <c r="A1" s="1" t="inlineStr">
        <is>
          <t>Your Candle</t>
        </is>
      </c>
    </row>
    <row r="3">
      <c r="A3" s="3" t="inlineStr">
        <is>
          <t>Your jar</t>
        </is>
      </c>
      <c r="B3" s="4" t="n"/>
      <c r="C3" s="4" t="n"/>
      <c r="D3" s="4" t="n"/>
    </row>
    <row r="4">
      <c r="A4" t="inlineStr">
        <is>
          <t>Water weight of your jar, filled to your line</t>
        </is>
      </c>
      <c r="B4" s="11" t="n">
        <v>300</v>
      </c>
      <c r="C4">
        <f>'Start Here'!$B$7</f>
        <v/>
      </c>
    </row>
    <row r="5">
      <c r="A5" t="inlineStr">
        <is>
          <t>Water-to-wax factor</t>
        </is>
      </c>
      <c r="B5" s="12" t="n">
        <v>0.86</v>
      </c>
      <c r="D5" s="2" t="inlineStr">
        <is>
          <t>A planning assumption, not a physical constant. Waxes differ — measure your own and change this.</t>
        </is>
      </c>
    </row>
    <row r="6">
      <c r="A6" t="inlineStr">
        <is>
          <t>Fill weight — how much wax + fragrance fits</t>
        </is>
      </c>
      <c r="B6" s="13">
        <f>IF(OR($B$4="",$B$5=""),"",$B$4*$B$5)</f>
        <v/>
      </c>
      <c r="C6">
        <f>'Start Here'!$B$7</f>
        <v/>
      </c>
    </row>
    <row r="8">
      <c r="A8" s="3" t="inlineStr">
        <is>
          <t>Your fragrance</t>
        </is>
      </c>
      <c r="B8" s="4" t="n"/>
      <c r="C8" s="4" t="n"/>
      <c r="D8" s="4" t="n"/>
    </row>
    <row r="9">
      <c r="A9" t="inlineStr">
        <is>
          <t>How you measure fragrance</t>
        </is>
      </c>
      <c r="B9" s="5" t="inlineStr">
        <is>
          <t>Fragrance load (% of wax)</t>
        </is>
      </c>
      <c r="D9" s="2" t="inlineStr">
        <is>
          <t>This sheet shows you both numbers either way.</t>
        </is>
      </c>
    </row>
    <row r="10">
      <c r="A10" t="inlineStr">
        <is>
          <t>Fragrance percentage</t>
        </is>
      </c>
      <c r="B10" s="14" t="n">
        <v>0.12</v>
      </c>
    </row>
    <row r="11">
      <c r="A11" t="inlineStr">
        <is>
          <t>Maximum your wax can hold</t>
        </is>
      </c>
      <c r="B11" s="14" t="n">
        <v>0.1</v>
      </c>
      <c r="D11" s="2" t="inlineStr">
        <is>
          <t>Optional. From your wax's spec sheet — enter it the same way you are measuring above.</t>
        </is>
      </c>
    </row>
    <row r="12">
      <c r="B12" s="15">
        <f>IF(OR($B$6="",$B$10="",$B$10&gt;=1),"",IF(AND($B$11&lt;&gt;"",$B$10&gt;$B$11),"Above the maximum you entered for this wax ("&amp;TEXT($B$11,"0.0%")&amp;"). Your wax may not hold it.",""))</f>
        <v/>
      </c>
    </row>
    <row r="14">
      <c r="A14" s="3" t="inlineStr">
        <is>
          <t>One candle</t>
        </is>
      </c>
      <c r="B14" s="4" t="n"/>
      <c r="C14" s="4" t="n"/>
      <c r="D14" s="4" t="n"/>
    </row>
    <row r="15">
      <c r="A15" t="inlineStr">
        <is>
          <t>Wax</t>
        </is>
      </c>
      <c r="B15" s="16">
        <f>IF(OR($B$6="",$B$10="",$B$10&gt;=1),"",IF($B$9="Fragrance load (% of wax)",$B$6/(1+$B$10),$B$6*(1-$B$10)))</f>
        <v/>
      </c>
      <c r="C15">
        <f>'Start Here'!$B$7</f>
        <v/>
      </c>
    </row>
    <row r="16">
      <c r="A16" t="inlineStr">
        <is>
          <t>Fragrance oil</t>
        </is>
      </c>
      <c r="B16" s="16">
        <f>IF(OR($B$6="",$B$10="",$B$10&gt;=1),"",IF($B$9="Fragrance load (% of wax)",$B$6*$B$10/(1+$B$10),$B$6*$B$10))</f>
        <v/>
      </c>
      <c r="C16">
        <f>'Start Here'!$B$7</f>
        <v/>
      </c>
    </row>
    <row r="17">
      <c r="A17" t="inlineStr">
        <is>
          <t>Total fill weight</t>
        </is>
      </c>
      <c r="B17" s="17">
        <f>IF($B$6="","",$B$6)</f>
        <v/>
      </c>
      <c r="C17">
        <f>'Start Here'!$B$7</f>
        <v/>
      </c>
    </row>
    <row r="18">
      <c r="A18" t="inlineStr">
        <is>
          <t>Fragrance load (% of wax)</t>
        </is>
      </c>
      <c r="B18" s="18">
        <f>IF(OR($B$6="",$B$10="",$B$10&gt;=1),"",IF($B$9="Fragrance load (% of wax)",$B$10,$B$10/(1-$B$10)))</f>
        <v/>
      </c>
      <c r="D18" s="2" t="inlineStr">
        <is>
          <t>Both are shown on purpose. They describe the same candle.</t>
        </is>
      </c>
    </row>
    <row r="19">
      <c r="A19" t="inlineStr">
        <is>
          <t>Fragrance content (% of wax + fragrance)</t>
        </is>
      </c>
      <c r="B19" s="18">
        <f>IF(OR($B$6="",$B$10="",$B$10&gt;=1),"",IF($B$9="Fragrance load (% of wax)",$B$10/(1+$B$10),$B$10))</f>
        <v/>
      </c>
    </row>
    <row r="21">
      <c r="A21" s="3" t="inlineStr">
        <is>
          <t>Your batch</t>
        </is>
      </c>
      <c r="B21" s="4" t="n"/>
      <c r="C21" s="4" t="n"/>
      <c r="D21" s="4" t="n"/>
    </row>
    <row r="22">
      <c r="A22" t="inlineStr">
        <is>
          <t>How many candles in this batch</t>
        </is>
      </c>
      <c r="B22" s="19" t="n">
        <v>12</v>
      </c>
    </row>
    <row r="23">
      <c r="A23" t="inlineStr">
        <is>
          <t>Extra wax for what stays in the pitcher</t>
        </is>
      </c>
      <c r="B23" s="20" t="n">
        <v>0</v>
      </c>
      <c r="D23" s="2" t="inlineStr">
        <is>
          <t>Starts at 0%. Raise it if you know how much you normally lose.</t>
        </is>
      </c>
    </row>
    <row r="24">
      <c r="A24" t="inlineStr">
        <is>
          <t>Wax for the whole batch</t>
        </is>
      </c>
      <c r="B24" s="16">
        <f>IF(OR($B$15="",$B$22=""),"",$B$15*$B$22*(1+$B$23))</f>
        <v/>
      </c>
      <c r="C24">
        <f>'Start Here'!$B$7</f>
        <v/>
      </c>
    </row>
    <row r="25">
      <c r="A25" t="inlineStr">
        <is>
          <t>Fragrance oil for the whole batch</t>
        </is>
      </c>
      <c r="B25" s="16">
        <f>IF(OR($B$16="",$B$22=""),"",$B$16*$B$22*(1+$B$23))</f>
        <v/>
      </c>
      <c r="C25">
        <f>'Start Here'!$B$7</f>
        <v/>
      </c>
    </row>
  </sheetData>
  <mergeCells count="1">
    <mergeCell ref="B12:D12"/>
  </mergeCells>
  <dataValidations count="1">
    <dataValidation sqref="B9" showDropDown="0" showInputMessage="0" showErrorMessage="0" allowBlank="1" type="list">
      <formula1>"Fragrance load (% of wax),Fragrance content (% of wax + fragrance)"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58" customWidth="1" min="4" max="4"/>
  </cols>
  <sheetData>
    <row r="1">
      <c r="A1" s="1" t="inlineStr">
        <is>
          <t>Costs &amp; Price</t>
        </is>
      </c>
    </row>
    <row r="3">
      <c r="A3" s="3" t="inlineStr">
        <is>
          <t>What your materials cost</t>
        </is>
      </c>
      <c r="B3" s="4" t="n"/>
      <c r="C3" s="4" t="n"/>
      <c r="D3" s="4" t="n"/>
    </row>
    <row r="4">
      <c r="B4" s="8" t="inlineStr">
        <is>
          <t>What you paid</t>
        </is>
      </c>
      <c r="C4" s="8" t="inlineStr">
        <is>
          <t>How much that bought</t>
        </is>
      </c>
      <c r="D4" s="8" t="inlineStr">
        <is>
          <t>Sold in</t>
        </is>
      </c>
    </row>
    <row r="5">
      <c r="A5" t="inlineStr">
        <is>
          <t>Wax</t>
        </is>
      </c>
      <c r="B5" s="21" t="n">
        <v>30</v>
      </c>
      <c r="C5" s="5" t="n">
        <v>5</v>
      </c>
      <c r="D5" s="5" t="inlineStr">
        <is>
          <t>kg</t>
        </is>
      </c>
    </row>
    <row r="6">
      <c r="A6" t="inlineStr">
        <is>
          <t>Fragrance oil</t>
        </is>
      </c>
      <c r="B6" s="21" t="n">
        <v>18</v>
      </c>
      <c r="C6" s="5" t="n">
        <v>500</v>
      </c>
      <c r="D6" s="5" t="inlineStr">
        <is>
          <t>g</t>
        </is>
      </c>
    </row>
    <row r="7">
      <c r="A7" t="inlineStr">
        <is>
          <t>Cost of wax, per unit you weigh in</t>
        </is>
      </c>
      <c r="B7" s="22">
        <f>IF(OR($B$5="",$C$5="",$C$5=0),"",$B$5/($C$5*IF($D$5="g",1,IF($D$5="kg",1000,IF($D$5="oz",28.349523125,453.59237)))/'Start Here'!$B$8))</f>
        <v/>
      </c>
    </row>
    <row r="8">
      <c r="A8" t="inlineStr">
        <is>
          <t>Cost of fragrance oil, per unit you weigh in</t>
        </is>
      </c>
      <c r="B8" s="22">
        <f>IF(OR($B$6="",$C$6="",$C$6=0),"",$B$6/($C$6*IF($D$6="g",1,IF($D$6="kg",1000,IF($D$6="oz",28.349523125,453.59237)))/'Start Here'!$B$8))</f>
        <v/>
      </c>
    </row>
    <row r="10">
      <c r="A10" s="3" t="inlineStr">
        <is>
          <t>Parts for one candle</t>
        </is>
      </c>
      <c r="B10" s="4" t="n"/>
      <c r="C10" s="4" t="n"/>
      <c r="D10" s="4" t="n"/>
    </row>
    <row r="11">
      <c r="A11" t="inlineStr">
        <is>
          <t>Vessel</t>
        </is>
      </c>
      <c r="B11" s="21" t="n">
        <v>1.8</v>
      </c>
    </row>
    <row r="12">
      <c r="A12" t="inlineStr">
        <is>
          <t>Wick</t>
        </is>
      </c>
      <c r="B12" s="21" t="n">
        <v>0.12</v>
      </c>
    </row>
    <row r="13">
      <c r="A13" t="inlineStr">
        <is>
          <t>Lid</t>
        </is>
      </c>
      <c r="B13" s="21" t="n">
        <v>0.6</v>
      </c>
    </row>
    <row r="14">
      <c r="A14" t="inlineStr">
        <is>
          <t>Label</t>
        </is>
      </c>
      <c r="B14" s="21" t="n">
        <v>0.15</v>
      </c>
    </row>
    <row r="15">
      <c r="A15" t="inlineStr">
        <is>
          <t>Box or packaging</t>
        </is>
      </c>
      <c r="B15" s="21" t="n">
        <v>0.45</v>
      </c>
    </row>
    <row r="16">
      <c r="A16" t="inlineStr">
        <is>
          <t>Anything else</t>
        </is>
      </c>
      <c r="B16" s="21" t="n">
        <v>0</v>
      </c>
    </row>
    <row r="18">
      <c r="A18" s="3" t="inlineStr">
        <is>
          <t>Your time (optional)</t>
        </is>
      </c>
      <c r="B18" s="4" t="n"/>
      <c r="C18" s="4" t="n"/>
      <c r="D18" s="4" t="n"/>
    </row>
    <row r="19">
      <c r="A19" t="inlineStr">
        <is>
          <t>Pay myself for my time</t>
        </is>
      </c>
      <c r="B19" s="5" t="inlineStr">
        <is>
          <t>No</t>
        </is>
      </c>
      <c r="D19" s="2" t="inlineStr">
        <is>
          <t>Your time is a real cost. If you skip this, your price only covers materials.</t>
        </is>
      </c>
    </row>
    <row r="20">
      <c r="A20" t="inlineStr">
        <is>
          <t>Minutes to make one candle</t>
        </is>
      </c>
      <c r="B20" s="19" t="n"/>
    </row>
    <row r="21">
      <c r="A21" t="inlineStr">
        <is>
          <t>What I pay myself per hour</t>
        </is>
      </c>
      <c r="B21" s="21" t="n"/>
    </row>
    <row r="23">
      <c r="A23" s="3" t="inlineStr">
        <is>
          <t>Your running costs (optional)</t>
        </is>
      </c>
      <c r="B23" s="4" t="n"/>
      <c r="C23" s="4" t="n"/>
      <c r="D23" s="4" t="n"/>
    </row>
    <row r="24">
      <c r="A24" t="inlineStr">
        <is>
          <t>Include my monthly running costs</t>
        </is>
      </c>
      <c r="B24" s="5" t="inlineStr">
        <is>
          <t>No</t>
        </is>
      </c>
      <c r="D24" s="2" t="inlineStr">
        <is>
          <t>Rent, insurance, subscriptions — costs you pay whether or not you make a candle this month.</t>
        </is>
      </c>
    </row>
    <row r="25">
      <c r="A25" t="inlineStr">
        <is>
          <t>My monthly running costs</t>
        </is>
      </c>
      <c r="B25" s="21" t="n"/>
    </row>
    <row r="26">
      <c r="A26" t="inlineStr">
        <is>
          <t>Candles I make in a month</t>
        </is>
      </c>
      <c r="B26" s="19" t="n"/>
    </row>
    <row r="27">
      <c r="B27" s="15">
        <f>IF(AND($B$24="Yes",OR($B$26="",$B$26=0)),"Enter how many candles you make in a month, or switch running costs off.","")</f>
        <v/>
      </c>
    </row>
    <row r="29">
      <c r="A29" s="3" t="inlineStr">
        <is>
          <t>What one candle costs you</t>
        </is>
      </c>
      <c r="B29" s="4" t="n"/>
      <c r="C29" s="4" t="n"/>
      <c r="D29" s="4" t="n"/>
    </row>
    <row r="30">
      <c r="A30" t="inlineStr">
        <is>
          <t>Wax + fragrance</t>
        </is>
      </c>
      <c r="B30" s="23">
        <f>IF(OR('Your Candle'!$B$24="",$B$7="",$B$8="",'Your Candle'!$B$22=""),"",('Your Candle'!$B$24*$B$7+'Your Candle'!$B$25*$B$8)/'Your Candle'!$B$22)</f>
        <v/>
      </c>
    </row>
    <row r="31">
      <c r="A31" t="inlineStr">
        <is>
          <t>Other parts</t>
        </is>
      </c>
      <c r="B31" s="23">
        <f>SUM($B$11:$B$16)</f>
        <v/>
      </c>
    </row>
    <row r="32">
      <c r="A32" t="inlineStr">
        <is>
          <t>Your time</t>
        </is>
      </c>
      <c r="B32" s="23">
        <f>IF($B$19&lt;&gt;"Yes",0,IF(OR($B$20="",$B$21=""),"",$B$20/60*$B$21))</f>
        <v/>
      </c>
    </row>
    <row r="33">
      <c r="A33" t="inlineStr">
        <is>
          <t>Share of running costs</t>
        </is>
      </c>
      <c r="B33" s="23">
        <f>IF($B$24&lt;&gt;"Yes",0,IF(OR($B$25="",$B$26="",$B$26=0),"",$B$25/$B$26))</f>
        <v/>
      </c>
    </row>
    <row r="34">
      <c r="A34" t="inlineStr">
        <is>
          <t>TOTAL cost per candle</t>
        </is>
      </c>
      <c r="B34" s="24">
        <f>IF(OR($B$30="",$B$32="",$B$33=""),"",$B$30+$B$31+$B$32+$B$33)</f>
        <v/>
      </c>
    </row>
    <row r="36">
      <c r="A36" s="3" t="inlineStr">
        <is>
          <t>Where you're selling</t>
        </is>
      </c>
      <c r="B36" s="4" t="n"/>
      <c r="C36" s="4" t="n"/>
      <c r="D36" s="4" t="n"/>
    </row>
    <row r="37">
      <c r="A37" t="inlineStr">
        <is>
          <t>Where am I selling this</t>
        </is>
      </c>
      <c r="B37" s="5" t="n"/>
      <c r="D37" s="2" t="inlineStr">
        <is>
          <t>Fees change. Look up your marketplace's current fees and type them in — this sheet does not guess them for you.</t>
        </is>
      </c>
    </row>
    <row r="38">
      <c r="A38" t="inlineStr">
        <is>
          <t>Selling fee %</t>
        </is>
      </c>
      <c r="B38" s="14" t="n"/>
    </row>
    <row r="39">
      <c r="A39" t="inlineStr">
        <is>
          <t>Payment processing %</t>
        </is>
      </c>
      <c r="B39" s="14" t="n"/>
    </row>
    <row r="40">
      <c r="A40" t="inlineStr">
        <is>
          <t>Any other % fee</t>
        </is>
      </c>
      <c r="B40" s="14" t="n"/>
    </row>
    <row r="41">
      <c r="A41" t="inlineStr">
        <is>
          <t>Fixed fee per order</t>
        </is>
      </c>
      <c r="B41" s="21" t="n"/>
    </row>
    <row r="42">
      <c r="A42" t="inlineStr">
        <is>
          <t>Percentage fees apply to</t>
        </is>
      </c>
      <c r="B42" s="5" t="inlineStr">
        <is>
          <t>Item price only</t>
        </is>
      </c>
    </row>
    <row r="43">
      <c r="A43" t="inlineStr">
        <is>
          <t>Shipping I charge the buyer</t>
        </is>
      </c>
      <c r="B43" s="21" t="n">
        <v>0</v>
      </c>
    </row>
    <row r="44">
      <c r="A44" t="inlineStr">
        <is>
          <t>What shipping actually costs me</t>
        </is>
      </c>
      <c r="B44" s="21" t="n">
        <v>0</v>
      </c>
    </row>
    <row r="46">
      <c r="A46" s="3" t="inlineStr">
        <is>
          <t>Your price</t>
        </is>
      </c>
      <c r="B46" s="4" t="n"/>
      <c r="C46" s="4" t="n"/>
      <c r="D46" s="4" t="n"/>
    </row>
    <row r="47">
      <c r="A47" t="inlineStr">
        <is>
          <t>Profit margin I want</t>
        </is>
      </c>
      <c r="B47" s="14" t="n">
        <v>0.4</v>
      </c>
      <c r="D47" s="2" t="inlineStr">
        <is>
          <t>As a share of the price you charge.</t>
        </is>
      </c>
    </row>
    <row r="48">
      <c r="A48" t="inlineStr">
        <is>
          <t>Price to charge</t>
        </is>
      </c>
      <c r="B48" s="24">
        <f>IF(OR($B$34="",$B$47=""),"",IF((1-SUM($B$38:$B$40)-$B$47)&lt;=0,"",(IF($B$41="",0,$B$41)+$B$34+IF($B$44="",0,$B$44)-IF($B$42="Item price + shipping",IF($B$43="",0,$B$43)*(1-SUM($B$38:$B$40)),IF($B$43="",0,$B$43)))/(1-SUM($B$38:$B$40)-$B$47)))</f>
        <v/>
      </c>
    </row>
    <row r="49">
      <c r="B49" s="15">
        <f>IF(OR($B$34="",$B$47=""),"",IF((1-SUM($B$38:$B$40)-$B$47)&lt;=0,"A "&amp;TEXT($B$47,"0%")&amp;" margin isn't reachable with fees of "&amp;TEXT(SUM($B$38:$B$40),"0.0%")&amp;". Lower the margin or the fees — there is no price that works.",IF($B$48&lt;=0,"Check your shipping and fee figures — this comes out at or below zero.","")))</f>
        <v/>
      </c>
    </row>
    <row r="50">
      <c r="A50" t="inlineStr">
        <is>
          <t>Fees on that sale</t>
        </is>
      </c>
      <c r="B50" s="23">
        <f>IF($B$48="","",SUM($B$38:$B$40)*IF($B$42="Item price + shipping",$B$48+IF($B$43="",0,$B$43),$B$48)+IF($B$41="",0,$B$41))</f>
        <v/>
      </c>
    </row>
    <row r="51">
      <c r="A51" t="inlineStr">
        <is>
          <t>You receive</t>
        </is>
      </c>
      <c r="B51" s="23">
        <f>IF($B$48="","",$B$48+IF($B$43="",0,$B$43)-$B$50)</f>
        <v/>
      </c>
    </row>
    <row r="52">
      <c r="A52" t="inlineStr">
        <is>
          <t>Your profit</t>
        </is>
      </c>
      <c r="B52" s="25">
        <f>IF($B$48="","",$B$51-$B$34-IF($B$44="",0,$B$44))</f>
        <v/>
      </c>
    </row>
    <row r="53">
      <c r="A53" t="inlineStr">
        <is>
          <t>Margin you actually get</t>
        </is>
      </c>
      <c r="B53" s="18">
        <f>IF(OR($B$48="",$B$48=0),"",$B$52/$B$48)</f>
        <v/>
      </c>
      <c r="D53" s="2" t="inlineStr">
        <is>
          <t>Margin is profit as a share of your price. Markup is profit as a share of your cost. They are not the same number.</t>
        </is>
      </c>
    </row>
    <row r="54">
      <c r="A54" t="inlineStr">
        <is>
          <t>Markup on your cost</t>
        </is>
      </c>
      <c r="B54" s="18">
        <f>IF(OR($B$34="",$B$34=0,$B$48=""),"",$B$52/$B$34)</f>
        <v/>
      </c>
    </row>
    <row r="56">
      <c r="A56" s="3" t="inlineStr">
        <is>
          <t>Wholesale</t>
        </is>
      </c>
      <c r="B56" s="4" t="n"/>
      <c r="C56" s="4" t="n"/>
      <c r="D56" s="4" t="n"/>
    </row>
    <row r="57">
      <c r="A57" t="inlineStr">
        <is>
          <t>Wholesale multiplier</t>
        </is>
      </c>
      <c r="B57" s="12" t="n">
        <v>2</v>
      </c>
      <c r="D57" s="2" t="inlineStr">
        <is>
          <t>A common starting point is 2 — twice what the candle costs you.</t>
        </is>
      </c>
    </row>
    <row r="58">
      <c r="A58" t="inlineStr">
        <is>
          <t>Wholesale price</t>
        </is>
      </c>
      <c r="B58" s="24">
        <f>IF(OR($B$34="",$B$57=""),"",$B$34*$B$57)</f>
        <v/>
      </c>
    </row>
    <row r="59">
      <c r="A59" t="inlineStr">
        <is>
          <t>A shop reselling at twice that would charge</t>
        </is>
      </c>
      <c r="B59" s="23">
        <f>IF($B$58="","",$B$58*2)</f>
        <v/>
      </c>
    </row>
    <row r="60">
      <c r="B60" s="15">
        <f>IF($B$58="","",IF($B$58&lt;$B$34,"This wholesale price is below what the candle costs you.",""))</f>
        <v/>
      </c>
    </row>
  </sheetData>
  <mergeCells count="3">
    <mergeCell ref="B27:D27"/>
    <mergeCell ref="B60:D60"/>
    <mergeCell ref="B49:D49"/>
  </mergeCells>
  <dataValidations count="5">
    <dataValidation sqref="D5" showDropDown="0" showInputMessage="0" showErrorMessage="0" allowBlank="1" type="list">
      <formula1>"g,kg,oz,lb"</formula1>
    </dataValidation>
    <dataValidation sqref="D6" showDropDown="0" showInputMessage="0" showErrorMessage="0" allowBlank="1" type="list">
      <formula1>"g,kg,oz,lb"</formula1>
    </dataValidation>
    <dataValidation sqref="B19" showDropDown="0" showInputMessage="0" showErrorMessage="0" allowBlank="1" type="list">
      <formula1>"Yes,No"</formula1>
    </dataValidation>
    <dataValidation sqref="B24" showDropDown="0" showInputMessage="0" showErrorMessage="0" allowBlank="1" type="list">
      <formula1>"Yes,No"</formula1>
    </dataValidation>
    <dataValidation sqref="B42" showDropDown="0" showInputMessage="0" showErrorMessage="0" allowBlank="1" type="list">
      <formula1>"Item price only,Item price + shipping"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76" customWidth="1" min="3" max="3"/>
  </cols>
  <sheetData>
    <row r="1">
      <c r="A1" s="1" t="inlineStr">
        <is>
          <t>Reference</t>
        </is>
      </c>
    </row>
    <row r="3">
      <c r="A3" s="3" t="inlineStr">
        <is>
          <t>What this sheet does not do</t>
        </is>
      </c>
      <c r="B3" s="4" t="n"/>
      <c r="C3" s="4" t="n"/>
    </row>
    <row r="4">
      <c r="A4" s="26" t="inlineStr">
        <is>
          <t>This workbook does not choose your wick.</t>
        </is>
      </c>
    </row>
    <row r="5">
      <c r="A5" t="inlineStr">
        <is>
          <t>Wick size cannot be calculated. It depends on your wax, fragrance load, dye, and the diameter and shape of your vessel — the only way to know is to burn a test candle and watch the melt pool.</t>
        </is>
      </c>
    </row>
    <row r="6">
      <c r="A6" s="8" t="inlineStr">
        <is>
          <t>Use the burn test log that came with this sheet for that.</t>
        </is>
      </c>
    </row>
    <row r="8">
      <c r="A8" s="3" t="inlineStr">
        <is>
          <t>Starting assumptions — all of them, and where to change them</t>
        </is>
      </c>
      <c r="B8" s="4" t="n"/>
      <c r="C8" s="4" t="n"/>
    </row>
    <row r="9">
      <c r="A9" s="8" t="inlineStr">
        <is>
          <t>Assumption</t>
        </is>
      </c>
      <c r="B9" s="8" t="inlineStr">
        <is>
          <t>Starts at</t>
        </is>
      </c>
      <c r="C9" s="8" t="inlineStr">
        <is>
          <t>Why, and where to change it</t>
        </is>
      </c>
    </row>
    <row r="10">
      <c r="A10" t="inlineStr">
        <is>
          <t>Water-to-wax factor</t>
        </is>
      </c>
      <c r="B10" t="inlineStr">
        <is>
          <t>0.86</t>
        </is>
      </c>
      <c r="C10" t="inlineStr">
        <is>
          <t>Wax is lighter than water — around 86% of its density. A planning assumption, not a constant. Waxes differ. Change it on Your Candle.</t>
        </is>
      </c>
    </row>
    <row r="11">
      <c r="A11" t="inlineStr">
        <is>
          <t>Extra wax for the pitcher</t>
        </is>
      </c>
      <c r="B11" t="inlineStr">
        <is>
          <t>0%</t>
        </is>
      </c>
      <c r="C11" t="inlineStr">
        <is>
          <t>Starts at zero, because how much you lose depends on your pitcher and how you pour. Change it on Your Candle.</t>
        </is>
      </c>
    </row>
    <row r="12">
      <c r="A12" t="inlineStr">
        <is>
          <t>Wholesale multiplier</t>
        </is>
      </c>
      <c r="B12" t="inlineStr">
        <is>
          <t>2.00</t>
        </is>
      </c>
      <c r="C12" t="inlineStr">
        <is>
          <t>A common starting point is twice what the candle costs you. Change it on Costs &amp; Price.</t>
        </is>
      </c>
    </row>
    <row r="13">
      <c r="A13" t="inlineStr">
        <is>
          <t>Selling fees</t>
        </is>
      </c>
      <c r="B13" t="inlineStr">
        <is>
          <t>blank</t>
        </is>
      </c>
      <c r="C13" t="inlineStr">
        <is>
          <t>Left empty on purpose. Fees change, and they differ by marketplace and country. Look up yours and type them in on Costs &amp; Price.</t>
        </is>
      </c>
    </row>
    <row r="14">
      <c r="A14" t="inlineStr">
        <is>
          <t>Your time and running costs</t>
        </is>
      </c>
      <c r="B14" t="inlineStr">
        <is>
          <t>off</t>
        </is>
      </c>
      <c r="C14" t="inlineStr">
        <is>
          <t>Both optional. Switch them on when you want your price to cover them.</t>
        </is>
      </c>
    </row>
    <row r="17">
      <c r="A17" s="3" t="inlineStr">
        <is>
          <t>Fragrance load and fragrance content</t>
        </is>
      </c>
      <c r="B17" s="4" t="n"/>
      <c r="C17" s="4" t="n"/>
    </row>
    <row r="18">
      <c r="A18" s="8" t="inlineStr">
        <is>
          <t>Fragrance load</t>
        </is>
      </c>
      <c r="C18" t="inlineStr">
        <is>
          <t>The fragrance as a percentage of the wax on its own.</t>
        </is>
      </c>
    </row>
    <row r="19">
      <c r="A19" s="8" t="inlineStr">
        <is>
          <t>Fragrance content</t>
        </is>
      </c>
      <c r="C19" t="inlineStr">
        <is>
          <t>The fragrance as a percentage of the wax and fragrance added together.</t>
        </is>
      </c>
    </row>
    <row r="20">
      <c r="A20" s="8" t="inlineStr">
        <is>
          <t>The worked example</t>
        </is>
      </c>
      <c r="C20" t="inlineStr">
        <is>
          <t>20 g of fragrance in 200 g of wax is a 10% load, and 9.09% content (20 out of 220 g). Same candle.</t>
        </is>
      </c>
    </row>
    <row r="21">
      <c r="A21" s="8" t="inlineStr">
        <is>
          <t>A handy reference point</t>
        </is>
      </c>
      <c r="C21" t="inlineStr">
        <is>
          <t>1 oz of fragrance per 1 lb of wax is a 6.25% load.</t>
        </is>
      </c>
    </row>
    <row r="23">
      <c r="A23" s="3" t="inlineStr">
        <is>
          <t>Selling fees — what the boxes mean</t>
        </is>
      </c>
      <c r="B23" s="4" t="n"/>
      <c r="C23" s="4" t="n"/>
    </row>
    <row r="24">
      <c r="A24" s="8" t="inlineStr">
        <is>
          <t>Selling fee %</t>
        </is>
      </c>
      <c r="C24" t="inlineStr">
        <is>
          <t>What the marketplace charges you for making the sale.</t>
        </is>
      </c>
    </row>
    <row r="25">
      <c r="A25" s="8" t="inlineStr">
        <is>
          <t>Payment processing %</t>
        </is>
      </c>
      <c r="C25" t="inlineStr">
        <is>
          <t>What the payment provider charges for taking the money.</t>
        </is>
      </c>
    </row>
    <row r="26">
      <c r="A26" s="8" t="inlineStr">
        <is>
          <t>Any other % fee</t>
        </is>
      </c>
      <c r="C26" t="inlineStr">
        <is>
          <t>Anything else charged as a percentage — advertising, for example.</t>
        </is>
      </c>
    </row>
    <row r="27">
      <c r="A27" s="8" t="inlineStr">
        <is>
          <t>Fixed fee per order</t>
        </is>
      </c>
      <c r="C27" t="inlineStr">
        <is>
          <t>A flat amount per order rather than a percentage.</t>
        </is>
      </c>
    </row>
    <row r="28">
      <c r="A28" s="8" t="inlineStr">
        <is>
          <t>Percentage fees apply to</t>
        </is>
      </c>
      <c r="C28" t="inlineStr">
        <is>
          <t>Some places charge their percentage on the item price plus the shipping you charge. Others only on the item price. Check yours.</t>
        </is>
      </c>
    </row>
    <row r="31">
      <c r="A31" s="3" t="inlineStr">
        <is>
          <t>Margin and markup</t>
        </is>
      </c>
      <c r="B31" s="4" t="n"/>
      <c r="C31" s="4" t="n"/>
    </row>
    <row r="32">
      <c r="A32" s="8" t="inlineStr">
        <is>
          <t>Margin</t>
        </is>
      </c>
      <c r="C32" t="inlineStr">
        <is>
          <t>Your profit as a share of the price you charge.</t>
        </is>
      </c>
    </row>
    <row r="33">
      <c r="A33" s="8" t="inlineStr">
        <is>
          <t>Markup</t>
        </is>
      </c>
      <c r="C33" t="inlineStr">
        <is>
          <t>Your profit as a share of what the candle cost you.</t>
        </is>
      </c>
    </row>
    <row r="34">
      <c r="A34" s="8" t="inlineStr">
        <is>
          <t>Why it matters</t>
        </is>
      </c>
      <c r="C34" t="inlineStr">
        <is>
          <t>Adding 40% to your cost does not give you a 40% margin. This sheet works out the price that actually gives you the margin you asked for, after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2026-08-24T19:44:23Z</dcterms:created>
  <dcterms:modified xsi:type="dcterms:W3CDTF">2026-08-24T19:44:23Z</dcterms:modified>
</cp:coreProperties>
</file>