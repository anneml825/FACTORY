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" sheetId="1" state="visible" r:id="rId1"/>
    <sheet name="Costs &amp; Pric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4"/>
    </font>
    <font>
      <b val="1"/>
      <color rgb="00FFFFFF"/>
      <sz val="10"/>
    </font>
    <font>
      <color rgb="0078909C"/>
      <sz val="9"/>
    </font>
    <font>
      <b val="1"/>
    </font>
    <font>
      <b val="1"/>
      <color rgb="00C62828"/>
      <sz val="10"/>
    </font>
    <font>
      <b val="1"/>
      <sz val="12"/>
    </font>
    <font>
      <b val="1"/>
      <color rgb="00C62828"/>
      <sz val="11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F1F3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2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4" fillId="5" borderId="1" pivotButton="0" quotePrefix="0" xfId="0"/>
    <xf numFmtId="165" fontId="0" fillId="2" borderId="1" pivotButton="0" quotePrefix="0" xfId="0"/>
    <xf numFmtId="0" fontId="5" fillId="6" borderId="2" pivotButton="0" quotePrefix="0" xfId="0"/>
    <xf numFmtId="164" fontId="6" fillId="5" borderId="1" pivotButton="0" quotePrefix="0" xfId="0"/>
    <xf numFmtId="164" fontId="0" fillId="5" borderId="1" pivotButton="0" quotePrefix="0" xfId="0"/>
    <xf numFmtId="165" fontId="4" fillId="5" borderId="1" pivotButton="0" quotePrefix="0" xfId="0"/>
    <xf numFmtId="1" fontId="0" fillId="2" borderId="1" pivotButton="0" quotePrefix="0" xfId="0"/>
    <xf numFmtId="165" fontId="0" fillId="4" borderId="1" pivotButton="0" quotePrefix="0" xfId="0"/>
    <xf numFmtId="0" fontId="4" fillId="0" borderId="0" pivotButton="0" quotePrefix="0" xfId="0"/>
    <xf numFmtId="2" fontId="0" fillId="2" borderId="1" pivotButton="0" quotePrefix="0" xfId="0"/>
    <xf numFmtId="166" fontId="0" fillId="5" borderId="1" pivotButton="0" quotePrefix="0" xfId="0"/>
    <xf numFmtId="2" fontId="0" fillId="5" borderId="1" pivotButton="0" quotePrefix="0" xfId="0"/>
    <xf numFmtId="2" fontId="6" fillId="5" borderId="1" pivotButton="0" quotePrefix="0" xfId="0"/>
    <xf numFmtId="2" fontId="4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44" customWidth="1" min="4" max="4"/>
  </cols>
  <sheetData>
    <row r="1">
      <c r="A1" s="1" t="inlineStr">
        <is>
          <t>Candle</t>
        </is>
      </c>
    </row>
    <row r="3">
      <c r="A3" t="inlineStr">
        <is>
          <t>Weigh in</t>
        </is>
      </c>
      <c r="B3" s="2" t="inlineStr">
        <is>
          <t>grams</t>
        </is>
      </c>
    </row>
    <row r="4">
      <c r="A4" t="inlineStr">
        <is>
          <t>Currency</t>
        </is>
      </c>
      <c r="B4" s="2" t="inlineStr">
        <is>
          <t>$</t>
        </is>
      </c>
    </row>
    <row r="6">
      <c r="A6" s="3" t="inlineStr">
        <is>
          <t>Jar</t>
        </is>
      </c>
      <c r="B6" s="4" t="n"/>
      <c r="C6" s="4" t="n"/>
      <c r="D6" s="4" t="n"/>
    </row>
    <row r="7">
      <c r="A7" t="inlineStr">
        <is>
          <t>Water weight</t>
        </is>
      </c>
      <c r="B7" s="5" t="n"/>
      <c r="C7">
        <f>IF('Candle'!$B$3="grams","g","oz")</f>
        <v/>
      </c>
      <c r="D7" s="6" t="inlineStr">
        <is>
          <t>jar filled to your line</t>
        </is>
      </c>
    </row>
    <row r="8">
      <c r="A8" t="inlineStr">
        <is>
          <t>Wax factor</t>
        </is>
      </c>
      <c r="B8" s="7" t="n">
        <v>0.86</v>
      </c>
      <c r="D8" s="6" t="inlineStr">
        <is>
          <t>planning assumption — waxes vary</t>
        </is>
      </c>
    </row>
    <row r="9">
      <c r="A9" t="inlineStr">
        <is>
          <t>Fill weight</t>
        </is>
      </c>
      <c r="B9" s="8">
        <f>IF(OR($B$7="",$B$8=""),"",$B$7*$B$8)</f>
        <v/>
      </c>
      <c r="C9">
        <f>IF('Candle'!$B$3="grams","g","oz")</f>
        <v/>
      </c>
    </row>
    <row r="11">
      <c r="A11" s="3" t="inlineStr">
        <is>
          <t>Fragrance</t>
        </is>
      </c>
      <c r="B11" s="4" t="n"/>
      <c r="C11" s="4" t="n"/>
      <c r="D11" s="4" t="n"/>
    </row>
    <row r="12">
      <c r="A12" t="inlineStr">
        <is>
          <t>Measured as</t>
        </is>
      </c>
      <c r="B12" s="2" t="inlineStr">
        <is>
          <t>Load (% of wax)</t>
        </is>
      </c>
      <c r="D12" s="6" t="inlineStr">
        <is>
          <t>load = % of wax · content = % of wax + fragrance</t>
        </is>
      </c>
    </row>
    <row r="13">
      <c r="A13" t="inlineStr">
        <is>
          <t>Fragrance %</t>
        </is>
      </c>
      <c r="B13" s="9" t="n"/>
    </row>
    <row r="14">
      <c r="A14" t="inlineStr">
        <is>
          <t>Wax maximum</t>
        </is>
      </c>
      <c r="B14" s="9" t="n"/>
      <c r="D14" s="6" t="inlineStr">
        <is>
          <t>optional — from your wax spec sheet</t>
        </is>
      </c>
    </row>
    <row r="15">
      <c r="B15" s="10">
        <f>IF(OR($B$9="",$B$13="",$B$13&gt;=1),"",IF(AND($B$14&lt;&gt;"",$B$13&gt;$B$14),"Above the maximum you entered ("&amp;TEXT($B$14,"0.0%")&amp;"). Your wax may not hold it.",""))</f>
        <v/>
      </c>
    </row>
    <row r="17">
      <c r="A17" s="3" t="inlineStr">
        <is>
          <t>Per candle</t>
        </is>
      </c>
      <c r="B17" s="4" t="n"/>
      <c r="C17" s="4" t="n"/>
      <c r="D17" s="4" t="n"/>
    </row>
    <row r="18">
      <c r="A18" t="inlineStr">
        <is>
          <t>Wax</t>
        </is>
      </c>
      <c r="B18" s="11">
        <f>IF(OR($B$9="",$B$13="",$B$13&gt;=1),"",IF($B$12="Load (% of wax)",$B$9/(1+$B$13),$B$9*(1-$B$13)))</f>
        <v/>
      </c>
      <c r="C18">
        <f>IF('Candle'!$B$3="grams","g","oz")</f>
        <v/>
      </c>
    </row>
    <row r="19">
      <c r="A19" t="inlineStr">
        <is>
          <t>Fragrance oil</t>
        </is>
      </c>
      <c r="B19" s="11">
        <f>IF(OR($B$9="",$B$13="",$B$13&gt;=1),"",IF($B$12="Load (% of wax)",$B$9*$B$13/(1+$B$13),$B$9*$B$13))</f>
        <v/>
      </c>
      <c r="C19">
        <f>IF('Candle'!$B$3="grams","g","oz")</f>
        <v/>
      </c>
    </row>
    <row r="20">
      <c r="A20" t="inlineStr">
        <is>
          <t>Fill weight</t>
        </is>
      </c>
      <c r="B20" s="12">
        <f>IF($B$9="","",$B$9)</f>
        <v/>
      </c>
      <c r="C20">
        <f>IF('Candle'!$B$3="grams","g","oz")</f>
        <v/>
      </c>
    </row>
    <row r="21">
      <c r="A21" t="inlineStr">
        <is>
          <t>Load</t>
        </is>
      </c>
      <c r="B21" s="13">
        <f>IF(OR($B$9="",$B$13="",$B$13&gt;=1),"",IF($B$12="Load (% of wax)",$B$13,$B$13/(1-$B$13)))</f>
        <v/>
      </c>
      <c r="D21" s="6" t="inlineStr">
        <is>
          <t>% of wax</t>
        </is>
      </c>
    </row>
    <row r="22">
      <c r="A22" t="inlineStr">
        <is>
          <t>Content</t>
        </is>
      </c>
      <c r="B22" s="13">
        <f>IF(OR($B$9="",$B$13="",$B$13&gt;=1),"",IF($B$12="Load (% of wax)",$B$13/(1+$B$13),$B$13))</f>
        <v/>
      </c>
      <c r="D22" s="6" t="inlineStr">
        <is>
          <t>% of wax + fragrance</t>
        </is>
      </c>
    </row>
    <row r="24">
      <c r="A24" s="3" t="inlineStr">
        <is>
          <t>Batch</t>
        </is>
      </c>
      <c r="B24" s="4" t="n"/>
      <c r="C24" s="4" t="n"/>
      <c r="D24" s="4" t="n"/>
    </row>
    <row r="25">
      <c r="A25" t="inlineStr">
        <is>
          <t>Candles</t>
        </is>
      </c>
      <c r="B25" s="14" t="n"/>
    </row>
    <row r="26">
      <c r="A26" t="inlineStr">
        <is>
          <t>Pitcher loss</t>
        </is>
      </c>
      <c r="B26" s="15" t="n">
        <v>0</v>
      </c>
      <c r="D26" s="6" t="inlineStr">
        <is>
          <t>extra wax left in the pitcher</t>
        </is>
      </c>
    </row>
    <row r="27">
      <c r="A27" t="inlineStr">
        <is>
          <t>Wax</t>
        </is>
      </c>
      <c r="B27" s="11">
        <f>IF(OR($B$18="",$B$25=""),"",$B$18*$B$25*(1+$B$26))</f>
        <v/>
      </c>
      <c r="C27">
        <f>IF('Candle'!$B$3="grams","g","oz")</f>
        <v/>
      </c>
    </row>
    <row r="28">
      <c r="A28" t="inlineStr">
        <is>
          <t>Fragrance oil</t>
        </is>
      </c>
      <c r="B28" s="11">
        <f>IF(OR($B$19="",$B$25=""),"",$B$19*$B$25*(1+$B$26))</f>
        <v/>
      </c>
      <c r="C28">
        <f>IF('Candle'!$B$3="grams","g","oz")</f>
        <v/>
      </c>
    </row>
  </sheetData>
  <mergeCells count="1">
    <mergeCell ref="B15:D15"/>
  </mergeCells>
  <dataValidations count="2">
    <dataValidation sqref="B3" showDropDown="0" showInputMessage="0" showErrorMessage="0" allowBlank="1" type="list">
      <formula1>"grams,ounces"</formula1>
    </dataValidation>
    <dataValidation sqref="B12" showDropDown="0" showInputMessage="0" showErrorMessage="0" allowBlank="1" type="list">
      <formula1>"Load (% of wax),Content (% of wax + fragrance)"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Costs &amp; Price</t>
        </is>
      </c>
    </row>
    <row r="3">
      <c r="A3" s="3" t="inlineStr">
        <is>
          <t>Materials</t>
        </is>
      </c>
      <c r="B3" s="4" t="n"/>
      <c r="C3" s="4" t="n"/>
      <c r="D3" s="4" t="n"/>
    </row>
    <row r="4">
      <c r="B4" s="16" t="inlineStr">
        <is>
          <t>Price paid</t>
        </is>
      </c>
      <c r="C4" s="16" t="inlineStr">
        <is>
          <t>Quantity</t>
        </is>
      </c>
      <c r="D4" s="16" t="inlineStr">
        <is>
          <t>Unit</t>
        </is>
      </c>
    </row>
    <row r="5">
      <c r="A5" t="inlineStr">
        <is>
          <t>Wax</t>
        </is>
      </c>
      <c r="B5" s="17" t="n"/>
      <c r="C5" s="2" t="n"/>
      <c r="D5" s="2" t="inlineStr">
        <is>
          <t>kg</t>
        </is>
      </c>
    </row>
    <row r="6">
      <c r="A6" t="inlineStr">
        <is>
          <t>Fragrance oil</t>
        </is>
      </c>
      <c r="B6" s="17" t="n"/>
      <c r="C6" s="2" t="n"/>
      <c r="D6" s="2" t="inlineStr">
        <is>
          <t>g</t>
        </is>
      </c>
    </row>
    <row r="7">
      <c r="A7" t="inlineStr">
        <is>
          <t>Wax per unit</t>
        </is>
      </c>
      <c r="B7" s="18">
        <f>IF(OR($B$5="",$C$5="",$C$5=0),"",$B$5/($C$5*IF($D$5="g",1,IF($D$5="kg",1000,IF($D$5="oz",28.349523125,453.59237)))/IF('Candle'!$B$3="grams",1,28.349523125)))</f>
        <v/>
      </c>
    </row>
    <row r="8">
      <c r="A8" t="inlineStr">
        <is>
          <t>Fragrance per unit</t>
        </is>
      </c>
      <c r="B8" s="18">
        <f>IF(OR($B$6="",$C$6="",$C$6=0),"",$B$6/($C$6*IF($D$6="g",1,IF($D$6="kg",1000,IF($D$6="oz",28.349523125,453.59237)))/IF('Candle'!$B$3="grams",1,28.349523125)))</f>
        <v/>
      </c>
    </row>
    <row r="10">
      <c r="A10" s="3" t="inlineStr">
        <is>
          <t>Parts per candle</t>
        </is>
      </c>
      <c r="B10" s="4" t="n"/>
      <c r="C10" s="4" t="n"/>
      <c r="D10" s="4" t="n"/>
    </row>
    <row r="11">
      <c r="A11" t="inlineStr">
        <is>
          <t>Vessel</t>
        </is>
      </c>
      <c r="B11" s="17" t="n"/>
    </row>
    <row r="12">
      <c r="A12" t="inlineStr">
        <is>
          <t>Wick</t>
        </is>
      </c>
      <c r="B12" s="17" t="n"/>
    </row>
    <row r="13">
      <c r="A13" t="inlineStr">
        <is>
          <t>Lid</t>
        </is>
      </c>
      <c r="B13" s="17" t="n"/>
    </row>
    <row r="14">
      <c r="A14" t="inlineStr">
        <is>
          <t>Label</t>
        </is>
      </c>
      <c r="B14" s="17" t="n"/>
    </row>
    <row r="15">
      <c r="A15" t="inlineStr">
        <is>
          <t>Packaging</t>
        </is>
      </c>
      <c r="B15" s="17" t="n"/>
    </row>
    <row r="16">
      <c r="A16" t="inlineStr">
        <is>
          <t>Other</t>
        </is>
      </c>
      <c r="B16" s="17" t="n"/>
    </row>
    <row r="18">
      <c r="A18" s="3" t="inlineStr">
        <is>
          <t>Labour</t>
        </is>
      </c>
      <c r="B18" s="4" t="n"/>
      <c r="C18" s="4" t="n"/>
      <c r="D18" s="4" t="n"/>
    </row>
    <row r="19">
      <c r="A19" t="inlineStr">
        <is>
          <t>Include</t>
        </is>
      </c>
      <c r="B19" s="2" t="inlineStr">
        <is>
          <t>No</t>
        </is>
      </c>
      <c r="D19" s="6" t="inlineStr">
        <is>
          <t>optional</t>
        </is>
      </c>
    </row>
    <row r="20">
      <c r="A20" t="inlineStr">
        <is>
          <t>Minutes per candle</t>
        </is>
      </c>
      <c r="B20" s="14" t="n"/>
    </row>
    <row r="21">
      <c r="A21" t="inlineStr">
        <is>
          <t>Hourly rate</t>
        </is>
      </c>
      <c r="B21" s="17" t="n"/>
    </row>
    <row r="23">
      <c r="A23" s="3" t="inlineStr">
        <is>
          <t>Overhead</t>
        </is>
      </c>
      <c r="B23" s="4" t="n"/>
      <c r="C23" s="4" t="n"/>
      <c r="D23" s="4" t="n"/>
    </row>
    <row r="24">
      <c r="A24" t="inlineStr">
        <is>
          <t>Include</t>
        </is>
      </c>
      <c r="B24" s="2" t="inlineStr">
        <is>
          <t>No</t>
        </is>
      </c>
      <c r="D24" s="6" t="inlineStr">
        <is>
          <t>optional — rent, insurance, subscriptions</t>
        </is>
      </c>
    </row>
    <row r="25">
      <c r="A25" t="inlineStr">
        <is>
          <t>Monthly cost</t>
        </is>
      </c>
      <c r="B25" s="17" t="n"/>
    </row>
    <row r="26">
      <c r="A26" t="inlineStr">
        <is>
          <t>Candles per month</t>
        </is>
      </c>
      <c r="B26" s="14" t="n"/>
    </row>
    <row r="27">
      <c r="B27" s="10">
        <f>IF(AND($B$24="Yes",OR($B$26="",$B$26=0)),"Enter candles per month, or set Include to No.","")</f>
        <v/>
      </c>
    </row>
    <row r="29">
      <c r="A29" s="3" t="inlineStr">
        <is>
          <t>Cost per candle</t>
        </is>
      </c>
      <c r="B29" s="4" t="n"/>
      <c r="C29" s="4" t="n"/>
      <c r="D29" s="4" t="n"/>
    </row>
    <row r="30">
      <c r="A30" t="inlineStr">
        <is>
          <t>Wax + fragrance</t>
        </is>
      </c>
      <c r="B30" s="19">
        <f>IF(OR('Candle'!$B$27="",$B$7="",$B$8="",'Candle'!$B$25=""),"",('Candle'!$B$27*$B$7+'Candle'!$B$28*$B$8)/'Candle'!$B$25)</f>
        <v/>
      </c>
    </row>
    <row r="31">
      <c r="A31" t="inlineStr">
        <is>
          <t>Parts</t>
        </is>
      </c>
      <c r="B31" s="19">
        <f>SUM($B$11:$B$16)</f>
        <v/>
      </c>
    </row>
    <row r="32">
      <c r="A32" t="inlineStr">
        <is>
          <t>Labour</t>
        </is>
      </c>
      <c r="B32" s="19">
        <f>IF($B$19&lt;&gt;"Yes",0,IF(OR($B$20="",$B$21=""),"",$B$20/60*$B$21))</f>
        <v/>
      </c>
    </row>
    <row r="33">
      <c r="A33" t="inlineStr">
        <is>
          <t>Overhead</t>
        </is>
      </c>
      <c r="B33" s="19">
        <f>IF($B$24&lt;&gt;"Yes",0,IF(OR($B$25="",$B$26="",$B$26=0),"",$B$25/$B$26))</f>
        <v/>
      </c>
    </row>
    <row r="34">
      <c r="A34" t="inlineStr">
        <is>
          <t>Total</t>
        </is>
      </c>
      <c r="B34" s="20">
        <f>IF(OR($B$30="",$B$32="",$B$33=""),"",$B$30+$B$31+$B$32+$B$33)</f>
        <v/>
      </c>
    </row>
    <row r="36">
      <c r="A36" s="3" t="inlineStr">
        <is>
          <t>Selling fees</t>
        </is>
      </c>
      <c r="B36" s="4" t="n"/>
      <c r="C36" s="4" t="n"/>
      <c r="D36" s="4" t="n"/>
    </row>
    <row r="37">
      <c r="A37" t="inlineStr">
        <is>
          <t>Channel</t>
        </is>
      </c>
      <c r="B37" s="2" t="n"/>
      <c r="D37" s="6" t="inlineStr">
        <is>
          <t>look up your marketplace's current fees</t>
        </is>
      </c>
    </row>
    <row r="38">
      <c r="A38" t="inlineStr">
        <is>
          <t>Selling fee</t>
        </is>
      </c>
      <c r="B38" s="9" t="n"/>
    </row>
    <row r="39">
      <c r="A39" t="inlineStr">
        <is>
          <t>Processing</t>
        </is>
      </c>
      <c r="B39" s="9" t="n"/>
    </row>
    <row r="40">
      <c r="A40" t="inlineStr">
        <is>
          <t>Other %</t>
        </is>
      </c>
      <c r="B40" s="9" t="n"/>
    </row>
    <row r="41">
      <c r="A41" t="inlineStr">
        <is>
          <t>Fixed per order</t>
        </is>
      </c>
      <c r="B41" s="17" t="n"/>
    </row>
    <row r="42">
      <c r="A42" t="inlineStr">
        <is>
          <t>Charged on</t>
        </is>
      </c>
      <c r="B42" s="2" t="inlineStr">
        <is>
          <t>Item only</t>
        </is>
      </c>
      <c r="D42" s="6" t="inlineStr">
        <is>
          <t>item only, or item + shipping</t>
        </is>
      </c>
    </row>
    <row r="43">
      <c r="A43" t="inlineStr">
        <is>
          <t>Shipping charged</t>
        </is>
      </c>
      <c r="B43" s="17" t="n"/>
    </row>
    <row r="44">
      <c r="A44" t="inlineStr">
        <is>
          <t>Shipping cost</t>
        </is>
      </c>
      <c r="B44" s="17" t="n"/>
    </row>
    <row r="46">
      <c r="A46" s="3" t="inlineStr">
        <is>
          <t>Price</t>
        </is>
      </c>
      <c r="B46" s="4" t="n"/>
      <c r="C46" s="4" t="n"/>
      <c r="D46" s="4" t="n"/>
    </row>
    <row r="47">
      <c r="A47" t="inlineStr">
        <is>
          <t>Target margin</t>
        </is>
      </c>
      <c r="B47" s="9" t="n"/>
      <c r="D47" s="6" t="inlineStr">
        <is>
          <t>share of price, not markup on cost</t>
        </is>
      </c>
    </row>
    <row r="48">
      <c r="A48" t="inlineStr">
        <is>
          <t>Price</t>
        </is>
      </c>
      <c r="B48" s="20">
        <f>IF(OR($B$34="",$B$47=""),"",IF((1-SUM($B$38:$B$40)-$B$47)&lt;=0,"",(IF($B$41="",0,$B$41)+$B$34+IF($B$44="",0,$B$44)-IF($B$42="Item + shipping",IF($B$43="",0,$B$43)*(1-SUM($B$38:$B$40)),IF($B$43="",0,$B$43)))/(1-SUM($B$38:$B$40)-$B$47)))</f>
        <v/>
      </c>
    </row>
    <row r="49">
      <c r="B49" s="10">
        <f>IF(OR($B$34="",$B$47=""),"",IF((1-SUM($B$38:$B$40)-$B$47)&lt;=0,"A "&amp;TEXT($B$47,"0%")&amp;" margin is not reachable with fees of "&amp;TEXT(SUM($B$38:$B$40),"0.0%")&amp;". Lower the margin or the fees.",IF($B$48&lt;=0,"Check the shipping and fee figures — this comes out at or below zero.","")))</f>
        <v/>
      </c>
    </row>
    <row r="50">
      <c r="A50" t="inlineStr">
        <is>
          <t>Fees</t>
        </is>
      </c>
      <c r="B50" s="19">
        <f>IF($B$48="","",SUM($B$38:$B$40)*IF($B$42="Item + shipping",$B$48+IF($B$43="",0,$B$43),$B$48)+IF($B$41="",0,$B$41))</f>
        <v/>
      </c>
    </row>
    <row r="51">
      <c r="A51" t="inlineStr">
        <is>
          <t>Net received</t>
        </is>
      </c>
      <c r="B51" s="19">
        <f>IF($B$48="","",$B$48+IF($B$43="",0,$B$43)-$B$50)</f>
        <v/>
      </c>
    </row>
    <row r="52">
      <c r="A52" t="inlineStr">
        <is>
          <t>Profit</t>
        </is>
      </c>
      <c r="B52" s="21">
        <f>IF($B$48="","",$B$51-$B$34-IF($B$44="",0,$B$44))</f>
        <v/>
      </c>
    </row>
    <row r="53">
      <c r="A53" t="inlineStr">
        <is>
          <t>Margin achieved</t>
        </is>
      </c>
      <c r="B53" s="13">
        <f>IF(OR($B$48="",$B$48=0),"",$B$52/$B$48)</f>
        <v/>
      </c>
    </row>
    <row r="54">
      <c r="A54" t="inlineStr">
        <is>
          <t>Markup</t>
        </is>
      </c>
      <c r="B54" s="13">
        <f>IF(OR($B$34="",$B$34=0,$B$48=""),"",$B$52/$B$34)</f>
        <v/>
      </c>
      <c r="D54" s="6" t="inlineStr">
        <is>
          <t>profit ÷ cost</t>
        </is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Multiplier</t>
        </is>
      </c>
      <c r="B57" s="7" t="n">
        <v>2</v>
      </c>
      <c r="D57" s="6" t="inlineStr">
        <is>
          <t>2 = twice your cost</t>
        </is>
      </c>
    </row>
    <row r="58">
      <c r="A58" t="inlineStr">
        <is>
          <t>Wholesale price</t>
        </is>
      </c>
      <c r="B58" s="20">
        <f>IF(OR($B$34="",$B$57=""),"",$B$34*$B$57)</f>
        <v/>
      </c>
    </row>
    <row r="59">
      <c r="A59" t="inlineStr">
        <is>
          <t>Shop retail at 2x</t>
        </is>
      </c>
      <c r="B59" s="19">
        <f>IF($B$58="","",$B$58*2)</f>
        <v/>
      </c>
    </row>
    <row r="60">
      <c r="B60" s="10">
        <f>IF($B$58="","",IF($B$58&lt;$B$34,"Wholesale price is below your cost per candle.",""))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only,Item + 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8" customWidth="1" min="3" max="3"/>
  </cols>
  <sheetData>
    <row r="1">
      <c r="A1" s="1" t="inlineStr">
        <is>
          <t>Reference</t>
        </is>
      </c>
    </row>
    <row r="3">
      <c r="A3" s="3" t="inlineStr">
        <is>
          <t>Wick sizing</t>
        </is>
      </c>
      <c r="B3" s="4" t="n"/>
      <c r="C3" s="4" t="n"/>
    </row>
    <row r="4">
      <c r="A4" s="22" t="inlineStr">
        <is>
          <t>Not calculated here.</t>
        </is>
      </c>
      <c r="C4" t="inlineStr">
        <is>
          <t>Depends on wax, fragrance load, dye and jar shape. Found by burn testing.</t>
        </is>
      </c>
    </row>
    <row r="5">
      <c r="A5" t="inlineStr">
        <is>
          <t>Use</t>
        </is>
      </c>
      <c r="C5" t="inlineStr">
        <is>
          <t>The printable Burn Test Log supplied with this sheet.</t>
        </is>
      </c>
    </row>
    <row r="7">
      <c r="A7" s="3" t="inlineStr">
        <is>
          <t>Starting assumptions</t>
        </is>
      </c>
      <c r="B7" s="4" t="n"/>
      <c r="C7" s="4" t="n"/>
    </row>
    <row r="8">
      <c r="A8" s="16" t="inlineStr">
        <is>
          <t>Assumption</t>
        </is>
      </c>
      <c r="B8" s="16" t="inlineStr">
        <is>
          <t>Starts at</t>
        </is>
      </c>
      <c r="C8" s="16" t="inlineStr">
        <is>
          <t>Change it on</t>
        </is>
      </c>
    </row>
    <row r="9">
      <c r="A9" t="inlineStr">
        <is>
          <t>Wax factor</t>
        </is>
      </c>
      <c r="B9" t="inlineStr">
        <is>
          <t>0.86</t>
        </is>
      </c>
      <c r="C9" t="inlineStr">
        <is>
          <t>Candle · wax is about 86% the density of water; waxes vary</t>
        </is>
      </c>
    </row>
    <row r="10">
      <c r="A10" t="inlineStr">
        <is>
          <t>Pitcher loss</t>
        </is>
      </c>
      <c r="B10" t="inlineStr">
        <is>
          <t>0%</t>
        </is>
      </c>
      <c r="C10" t="inlineStr">
        <is>
          <t>Candle · depends on your pitcher and pour</t>
        </is>
      </c>
    </row>
    <row r="11">
      <c r="A11" t="inlineStr">
        <is>
          <t>Wholesale multiplier</t>
        </is>
      </c>
      <c r="B11" t="inlineStr">
        <is>
          <t>2.00</t>
        </is>
      </c>
      <c r="C11" t="inlineStr">
        <is>
          <t>Costs &amp; Price</t>
        </is>
      </c>
    </row>
    <row r="12">
      <c r="A12" t="inlineStr">
        <is>
          <t>Selling fees</t>
        </is>
      </c>
      <c r="B12" t="inlineStr">
        <is>
          <t>blank</t>
        </is>
      </c>
      <c r="C12" t="inlineStr">
        <is>
          <t>Costs &amp; Price · enter your own current rates</t>
        </is>
      </c>
    </row>
    <row r="13">
      <c r="A13" t="inlineStr">
        <is>
          <t>Labour, overhead</t>
        </is>
      </c>
      <c r="B13" t="inlineStr">
        <is>
          <t>off</t>
        </is>
      </c>
      <c r="C13" t="inlineStr">
        <is>
          <t>Costs &amp; Price</t>
        </is>
      </c>
    </row>
    <row r="15">
      <c r="A15" s="3" t="inlineStr">
        <is>
          <t>Load and content</t>
        </is>
      </c>
      <c r="B15" s="4" t="n"/>
      <c r="C15" s="4" t="n"/>
    </row>
    <row r="16">
      <c r="A16" s="16" t="inlineStr">
        <is>
          <t>Load</t>
        </is>
      </c>
      <c r="C16" t="inlineStr">
        <is>
          <t>Fragrance as a % of the wax alone.</t>
        </is>
      </c>
    </row>
    <row r="17">
      <c r="A17" s="16" t="inlineStr">
        <is>
          <t>Content</t>
        </is>
      </c>
      <c r="C17" t="inlineStr">
        <is>
          <t>Fragrance as a % of wax + fragrance.</t>
        </is>
      </c>
    </row>
    <row r="18">
      <c r="A18" s="16" t="inlineStr">
        <is>
          <t>Example</t>
        </is>
      </c>
      <c r="C18" t="inlineStr">
        <is>
          <t>20 g fragrance in 200 g wax = 10% load, 9.09% content.</t>
        </is>
      </c>
    </row>
    <row r="19">
      <c r="A19" s="16" t="inlineStr">
        <is>
          <t>Reference point</t>
        </is>
      </c>
      <c r="C19" t="inlineStr">
        <is>
          <t>1 oz fragrance per 1 lb wax = 6.25% load.</t>
        </is>
      </c>
    </row>
    <row r="21">
      <c r="A21" s="3" t="inlineStr">
        <is>
          <t>Margin and markup</t>
        </is>
      </c>
      <c r="B21" s="4" t="n"/>
      <c r="C21" s="4" t="n"/>
    </row>
    <row r="22">
      <c r="A22" s="16" t="inlineStr">
        <is>
          <t>Margin</t>
        </is>
      </c>
      <c r="C22" t="inlineStr">
        <is>
          <t>Profit ÷ price.</t>
        </is>
      </c>
    </row>
    <row r="23">
      <c r="A23" s="16" t="inlineStr">
        <is>
          <t>Markup</t>
        </is>
      </c>
      <c r="C23" t="inlineStr">
        <is>
          <t>Profit ÷ cost.</t>
        </is>
      </c>
    </row>
    <row r="24">
      <c r="A24" s="16" t="inlineStr">
        <is>
          <t>Watch out</t>
        </is>
      </c>
      <c r="C24" t="inlineStr">
        <is>
          <t>Adding 40% to cost gives a 29% margin, not 40%.</t>
        </is>
      </c>
    </row>
    <row r="26">
      <c r="A26" s="3" t="inlineStr">
        <is>
          <t>Fee boxes</t>
        </is>
      </c>
      <c r="B26" s="4" t="n"/>
      <c r="C26" s="4" t="n"/>
    </row>
    <row r="27">
      <c r="A27" s="16" t="inlineStr">
        <is>
          <t>Selling fee</t>
        </is>
      </c>
      <c r="C27" t="inlineStr">
        <is>
          <t>Marketplace commission.</t>
        </is>
      </c>
    </row>
    <row r="28">
      <c r="A28" s="16" t="inlineStr">
        <is>
          <t>Processing</t>
        </is>
      </c>
      <c r="C28" t="inlineStr">
        <is>
          <t>Payment provider.</t>
        </is>
      </c>
    </row>
    <row r="29">
      <c r="A29" s="16" t="inlineStr">
        <is>
          <t>Other %</t>
        </is>
      </c>
      <c r="C29" t="inlineStr">
        <is>
          <t>Advertising or similar.</t>
        </is>
      </c>
    </row>
    <row r="30">
      <c r="A30" s="16" t="inlineStr">
        <is>
          <t>Fixed per order</t>
        </is>
      </c>
      <c r="C30" t="inlineStr">
        <is>
          <t>Flat amount, not a percentage.</t>
        </is>
      </c>
    </row>
    <row r="31">
      <c r="A31" s="16" t="inlineStr">
        <is>
          <t>Charged on</t>
        </is>
      </c>
      <c r="C31" t="inlineStr">
        <is>
          <t>Some charge on item + shipping, others item only.</t>
        </is>
      </c>
    </row>
    <row r="33">
      <c r="A33" s="3" t="inlineStr">
        <is>
          <t>Cell colours</t>
        </is>
      </c>
      <c r="B33" s="4" t="n"/>
      <c r="C33" s="4" t="n"/>
    </row>
    <row r="34">
      <c r="A34" s="2" t="n"/>
      <c r="C34" t="inlineStr">
        <is>
          <t>Type here</t>
        </is>
      </c>
    </row>
    <row r="35">
      <c r="A35" s="23" t="n"/>
      <c r="C35" t="inlineStr">
        <is>
          <t>Calculated</t>
        </is>
      </c>
    </row>
    <row r="36">
      <c r="A36" s="24" t="n"/>
      <c r="C36" t="inlineStr">
        <is>
          <t>Assumption you can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2026-08-24T20:40:08Z</dcterms:created>
  <dcterms:modified xsi:type="dcterms:W3CDTF">2026-08-24T20:40:08Z</dcterms:modified>
</cp:coreProperties>
</file>