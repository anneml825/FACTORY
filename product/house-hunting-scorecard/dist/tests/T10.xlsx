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a" sheetId="1" state="visible" r:id="rId1"/>
    <sheet name="Homes" sheetId="2" state="visible" r:id="rId2"/>
    <sheet name="Costs" sheetId="3" state="visible" r:id="rId3"/>
    <sheet name="Results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4A5D23"/>
      <sz val="14"/>
    </font>
    <font>
      <b val="1"/>
      <color rgb="00FFFFFF"/>
      <sz val="10"/>
    </font>
    <font>
      <b val="1"/>
    </font>
    <font>
      <i val="1"/>
      <color rgb="00607D8B"/>
      <sz val="9"/>
    </font>
    <font>
      <b val="1"/>
      <color rgb="00C62828"/>
      <sz val="10"/>
    </font>
    <font>
      <b val="1"/>
      <color rgb="004A5D23"/>
      <sz val="12"/>
    </font>
  </fonts>
  <fills count="6">
    <fill>
      <patternFill/>
    </fill>
    <fill>
      <patternFill patternType="gray125"/>
    </fill>
    <fill>
      <patternFill patternType="solid">
        <fgColor rgb="004A5D23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" fontId="0" fillId="3" borderId="1" pivotButton="0" quotePrefix="0" xfId="0"/>
    <xf numFmtId="1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6" fillId="0" borderId="0" pivotButton="0" quotePrefix="0" xfId="0"/>
    <xf numFmtId="4" fontId="6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" customWidth="1" min="3" max="3"/>
    <col width="40" customWidth="1" min="4" max="4"/>
  </cols>
  <sheetData>
    <row r="1">
      <c r="A1" s="1" t="inlineStr">
        <is>
          <t>Criteria</t>
        </is>
      </c>
    </row>
    <row r="3">
      <c r="A3" s="2" t="inlineStr">
        <is>
          <t>What matters to you</t>
        </is>
      </c>
      <c r="B3" s="3" t="n"/>
      <c r="C3" s="3" t="n"/>
      <c r="D3" s="3" t="n"/>
    </row>
    <row r="4">
      <c r="A4" s="4" t="inlineStr">
        <is>
          <t>Criterion</t>
        </is>
      </c>
      <c r="B4" s="4" t="inlineStr">
        <is>
          <t>Weight</t>
        </is>
      </c>
      <c r="D4" t="inlineStr">
        <is>
          <t>1 is nice to have, 5 is decisive</t>
        </is>
      </c>
    </row>
    <row r="5">
      <c r="A5" s="5" t="inlineStr">
        <is>
          <t>Commute</t>
        </is>
      </c>
      <c r="B5" s="6" t="n">
        <v>5</v>
      </c>
    </row>
    <row r="6">
      <c r="A6" s="5" t="inlineStr">
        <is>
          <t>Neighborhood</t>
        </is>
      </c>
      <c r="B6" s="6" t="n">
        <v>5</v>
      </c>
    </row>
    <row r="7">
      <c r="A7" s="5" t="inlineStr">
        <is>
          <t>Condition</t>
        </is>
      </c>
      <c r="B7" s="6" t="n">
        <v>4</v>
      </c>
    </row>
    <row r="8">
      <c r="A8" s="5" t="inlineStr">
        <is>
          <t>Kitchen</t>
        </is>
      </c>
      <c r="B8" s="6" t="n">
        <v>4</v>
      </c>
    </row>
    <row r="9">
      <c r="A9" s="5" t="inlineStr">
        <is>
          <t>Natural light</t>
        </is>
      </c>
      <c r="B9" s="6" t="n">
        <v>4</v>
      </c>
    </row>
    <row r="10">
      <c r="A10" s="5" t="inlineStr">
        <is>
          <t>Layout</t>
        </is>
      </c>
      <c r="B10" s="6" t="n">
        <v>3</v>
      </c>
    </row>
    <row r="11">
      <c r="A11" s="5" t="inlineStr">
        <is>
          <t>Yard or outdoor space</t>
        </is>
      </c>
      <c r="B11" s="6" t="n">
        <v>3</v>
      </c>
    </row>
    <row r="12">
      <c r="A12" s="5" t="inlineStr">
        <is>
          <t>Schools</t>
        </is>
      </c>
      <c r="B12" s="6" t="n">
        <v>3</v>
      </c>
    </row>
    <row r="13">
      <c r="A13" s="5" t="inlineStr">
        <is>
          <t>Storage</t>
        </is>
      </c>
      <c r="B13" s="6" t="n">
        <v>2</v>
      </c>
    </row>
    <row r="14">
      <c r="A14" s="5" t="inlineStr">
        <is>
          <t>Parking</t>
        </is>
      </c>
      <c r="B14" s="6" t="n">
        <v>2</v>
      </c>
    </row>
    <row r="16">
      <c r="A16" s="2" t="inlineStr">
        <is>
          <t>Total</t>
        </is>
      </c>
      <c r="B16" s="3" t="n"/>
      <c r="C16" s="3" t="n"/>
      <c r="D16" s="3" t="n"/>
    </row>
    <row r="17">
      <c r="A17" t="inlineStr">
        <is>
          <t>Total weight</t>
        </is>
      </c>
      <c r="B17" s="7">
        <f>SUM($B$5:$B$14)</f>
        <v/>
      </c>
    </row>
    <row r="18">
      <c r="A18" t="inlineStr">
        <is>
          <t>Highest possible score</t>
        </is>
      </c>
      <c r="B18" s="7">
        <f>$B$17*5</f>
        <v/>
      </c>
      <c r="D18" s="8" t="inlineStr">
        <is>
          <t>total weight x 5</t>
        </is>
      </c>
    </row>
    <row r="20">
      <c r="B20" s="9">
        <f>IF($B$17=0,"Give at least one criterion a weight.","")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13" max="13"/>
    <col width="11" customWidth="1" min="14" max="14"/>
    <col width="30" customWidth="1" min="15" max="15"/>
  </cols>
  <sheetData>
    <row r="1">
      <c r="A1" s="1" t="inlineStr">
        <is>
          <t>Homes</t>
        </is>
      </c>
    </row>
    <row r="3">
      <c r="A3" s="2" t="inlineStr">
        <is>
          <t>Score each home 1 to 5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Home</t>
        </is>
      </c>
      <c r="B4" s="4" t="inlineStr">
        <is>
          <t>Asking price</t>
        </is>
      </c>
      <c r="C4" s="4">
        <f>'Criteria'!$A$5</f>
        <v/>
      </c>
      <c r="D4" s="4">
        <f>'Criteria'!$A$6</f>
        <v/>
      </c>
      <c r="E4" s="4">
        <f>'Criteria'!$A$7</f>
        <v/>
      </c>
      <c r="F4" s="4">
        <f>'Criteria'!$A$8</f>
        <v/>
      </c>
      <c r="G4" s="4">
        <f>'Criteria'!$A$9</f>
        <v/>
      </c>
      <c r="H4" s="4">
        <f>'Criteria'!$A$10</f>
        <v/>
      </c>
      <c r="I4" s="4">
        <f>'Criteria'!$A$11</f>
        <v/>
      </c>
      <c r="J4" s="4">
        <f>'Criteria'!$A$12</f>
        <v/>
      </c>
      <c r="K4" s="4">
        <f>'Criteria'!$A$13</f>
        <v/>
      </c>
      <c r="L4" s="4">
        <f>'Criteria'!$A$14</f>
        <v/>
      </c>
      <c r="M4" s="4" t="inlineStr">
        <is>
          <t>Score</t>
        </is>
      </c>
      <c r="N4" s="4" t="inlineStr">
        <is>
          <t>Of possible</t>
        </is>
      </c>
      <c r="O4" s="4" t="inlineStr">
        <is>
          <t>Check</t>
        </is>
      </c>
    </row>
    <row r="5">
      <c r="A5" s="5" t="inlineStr">
        <is>
          <t>123 Oak Street</t>
        </is>
      </c>
      <c r="B5" s="10" t="n">
        <v>425000</v>
      </c>
      <c r="C5" s="6" t="n">
        <v>-2</v>
      </c>
      <c r="D5" s="6" t="n">
        <v>3</v>
      </c>
      <c r="E5" s="6" t="n">
        <v>3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7">
        <f>IF($A5="","",$C5*'Criteria'!$B$5 + $D5*'Criteria'!$B$6 + $E5*'Criteria'!$B$7 + $F5*'Criteria'!$B$8 + $G5*'Criteria'!$B$9 + $H5*'Criteria'!$B$10 + $I5*'Criteria'!$B$11 + $J5*'Criteria'!$B$12 + $K5*'Criteria'!$B$13 + $L5*'Criteria'!$B$14)</f>
        <v/>
      </c>
      <c r="N5" s="11">
        <f>IFERROR(IF($A5="","",$M5/'Criteria'!$B$18),"")</f>
        <v/>
      </c>
      <c r="O5" s="8">
        <f>IF($A5="","",IF($B5="","Enter an asking price.",IF(OR($C5&gt;5,$D5&gt;5,$E5&gt;5,$F5&gt;5,$G5&gt;5,$H5&gt;5,$I5&gt;5,$J5&gt;5,$K5&gt;5,$L5&gt;5),"Scores go up to 5.",IF(OR($C5&lt;0,$D5&lt;0,$E5&lt;0,$F5&lt;0,$G5&lt;0,$H5&lt;0,$I5&lt;0,$J5&lt;0,$K5&lt;0,$L5&lt;0),"Scores cannot be negative.","READY"))))</f>
        <v/>
      </c>
    </row>
    <row r="6">
      <c r="A6" s="5" t="inlineStr">
        <is>
          <t>88 Larch Avenue</t>
        </is>
      </c>
      <c r="B6" s="10" t="n">
        <v>399000</v>
      </c>
      <c r="C6" s="6" t="n">
        <v>3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7">
        <f>IF($A6="","",$C6*'Criteria'!$B$5 + $D6*'Criteria'!$B$6 + $E6*'Criteria'!$B$7 + $F6*'Criteria'!$B$8 + $G6*'Criteria'!$B$9 + $H6*'Criteria'!$B$10 + $I6*'Criteria'!$B$11 + $J6*'Criteria'!$B$12 + $K6*'Criteria'!$B$13 + $L6*'Criteria'!$B$14)</f>
        <v/>
      </c>
      <c r="N6" s="11">
        <f>IFERROR(IF($A6="","",$M6/'Criteria'!$B$18),"")</f>
        <v/>
      </c>
      <c r="O6" s="8">
        <f>IF($A6="","",IF($B6="","Enter an asking price.",IF(OR($C6&gt;5,$D6&gt;5,$E6&gt;5,$F6&gt;5,$G6&gt;5,$H6&gt;5,$I6&gt;5,$J6&gt;5,$K6&gt;5,$L6&gt;5),"Scores go up to 5.",IF(OR($C6&lt;0,$D6&lt;0,$E6&lt;0,$F6&lt;0,$G6&lt;0,$H6&lt;0,$I6&lt;0,$J6&lt;0,$K6&lt;0,$L6&lt;0),"Scores cannot be negative.","READY"))))</f>
        <v/>
      </c>
    </row>
    <row r="7">
      <c r="A7" s="5" t="inlineStr">
        <is>
          <t>17 Mill Lane</t>
        </is>
      </c>
      <c r="B7" s="10" t="n">
        <v>460000</v>
      </c>
      <c r="C7" s="6" t="n">
        <v>3</v>
      </c>
      <c r="D7" s="6" t="n">
        <v>3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7">
        <f>IF($A7="","",$C7*'Criteria'!$B$5 + $D7*'Criteria'!$B$6 + $E7*'Criteria'!$B$7 + $F7*'Criteria'!$B$8 + $G7*'Criteria'!$B$9 + $H7*'Criteria'!$B$10 + $I7*'Criteria'!$B$11 + $J7*'Criteria'!$B$12 + $K7*'Criteria'!$B$13 + $L7*'Criteria'!$B$14)</f>
        <v/>
      </c>
      <c r="N7" s="11">
        <f>IFERROR(IF($A7="","",$M7/'Criteria'!$B$18),"")</f>
        <v/>
      </c>
      <c r="O7" s="8">
        <f>IF($A7="","",IF($B7="","Enter an asking price.",IF(OR($C7&gt;5,$D7&gt;5,$E7&gt;5,$F7&gt;5,$G7&gt;5,$H7&gt;5,$I7&gt;5,$J7&gt;5,$K7&gt;5,$L7&gt;5),"Scores go up to 5.",IF(OR($C7&lt;0,$D7&lt;0,$E7&lt;0,$F7&lt;0,$G7&lt;0,$H7&lt;0,$I7&lt;0,$J7&lt;0,$K7&lt;0,$L7&lt;0),"Scores cannot be negative.","READY"))))</f>
        <v/>
      </c>
    </row>
    <row r="8">
      <c r="A8" s="5" t="inlineStr"/>
      <c r="B8" s="10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7">
        <f>IF($A8="","",$C8*'Criteria'!$B$5 + $D8*'Criteria'!$B$6 + $E8*'Criteria'!$B$7 + $F8*'Criteria'!$B$8 + $G8*'Criteria'!$B$9 + $H8*'Criteria'!$B$10 + $I8*'Criteria'!$B$11 + $J8*'Criteria'!$B$12 + $K8*'Criteria'!$B$13 + $L8*'Criteria'!$B$14)</f>
        <v/>
      </c>
      <c r="N8" s="11">
        <f>IFERROR(IF($A8="","",$M8/'Criteria'!$B$18),"")</f>
        <v/>
      </c>
      <c r="O8" s="8">
        <f>IF($A8="","",IF($B8="","Enter an asking price.",IF(OR($C8&gt;5,$D8&gt;5,$E8&gt;5,$F8&gt;5,$G8&gt;5,$H8&gt;5,$I8&gt;5,$J8&gt;5,$K8&gt;5,$L8&gt;5),"Scores go up to 5.",IF(OR($C8&lt;0,$D8&lt;0,$E8&lt;0,$F8&lt;0,$G8&lt;0,$H8&lt;0,$I8&lt;0,$J8&lt;0,$K8&lt;0,$L8&lt;0),"Scores cannot be negative.","READY"))))</f>
        <v/>
      </c>
    </row>
    <row r="9">
      <c r="A9" s="5" t="inlineStr"/>
      <c r="B9" s="10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IF($A9="","",$C9*'Criteria'!$B$5 + $D9*'Criteria'!$B$6 + $E9*'Criteria'!$B$7 + $F9*'Criteria'!$B$8 + $G9*'Criteria'!$B$9 + $H9*'Criteria'!$B$10 + $I9*'Criteria'!$B$11 + $J9*'Criteria'!$B$12 + $K9*'Criteria'!$B$13 + $L9*'Criteria'!$B$14)</f>
        <v/>
      </c>
      <c r="N9" s="11">
        <f>IFERROR(IF($A9="","",$M9/'Criteria'!$B$18),"")</f>
        <v/>
      </c>
      <c r="O9" s="8">
        <f>IF($A9="","",IF($B9="","Enter an asking price.",IF(OR($C9&gt;5,$D9&gt;5,$E9&gt;5,$F9&gt;5,$G9&gt;5,$H9&gt;5,$I9&gt;5,$J9&gt;5,$K9&gt;5,$L9&gt;5),"Scores go up to 5.",IF(OR($C9&lt;0,$D9&lt;0,$E9&lt;0,$F9&lt;0,$G9&lt;0,$H9&lt;0,$I9&lt;0,$J9&lt;0,$K9&lt;0,$L9&lt;0),"Scores cannot be negative.","READY"))))</f>
        <v/>
      </c>
    </row>
    <row r="10">
      <c r="A10" s="5" t="inlineStr"/>
      <c r="B10" s="10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7">
        <f>IF($A10="","",$C10*'Criteria'!$B$5 + $D10*'Criteria'!$B$6 + $E10*'Criteria'!$B$7 + $F10*'Criteria'!$B$8 + $G10*'Criteria'!$B$9 + $H10*'Criteria'!$B$10 + $I10*'Criteria'!$B$11 + $J10*'Criteria'!$B$12 + $K10*'Criteria'!$B$13 + $L10*'Criteria'!$B$14)</f>
        <v/>
      </c>
      <c r="N10" s="11">
        <f>IFERROR(IF($A10="","",$M10/'Criteria'!$B$18),"")</f>
        <v/>
      </c>
      <c r="O10" s="8">
        <f>IF($A10="","",IF($B10="","Enter an asking price.",IF(OR($C10&gt;5,$D10&gt;5,$E10&gt;5,$F10&gt;5,$G10&gt;5,$H10&gt;5,$I10&gt;5,$J10&gt;5,$K10&gt;5,$L10&gt;5),"Scores go up to 5.",IF(OR($C10&lt;0,$D10&lt;0,$E10&lt;0,$F10&lt;0,$G10&lt;0,$H10&lt;0,$I10&lt;0,$J10&lt;0,$K10&lt;0,$L10&lt;0),"Scores cannot be negative.","READY"))))</f>
        <v/>
      </c>
    </row>
    <row r="11">
      <c r="A11" s="5" t="inlineStr"/>
      <c r="B11" s="10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7">
        <f>IF($A11="","",$C11*'Criteria'!$B$5 + $D11*'Criteria'!$B$6 + $E11*'Criteria'!$B$7 + $F11*'Criteria'!$B$8 + $G11*'Criteria'!$B$9 + $H11*'Criteria'!$B$10 + $I11*'Criteria'!$B$11 + $J11*'Criteria'!$B$12 + $K11*'Criteria'!$B$13 + $L11*'Criteria'!$B$14)</f>
        <v/>
      </c>
      <c r="N11" s="11">
        <f>IFERROR(IF($A11="","",$M11/'Criteria'!$B$18),"")</f>
        <v/>
      </c>
      <c r="O11" s="8">
        <f>IF($A11="","",IF($B11="","Enter an asking price.",IF(OR($C11&gt;5,$D11&gt;5,$E11&gt;5,$F11&gt;5,$G11&gt;5,$H11&gt;5,$I11&gt;5,$J11&gt;5,$K11&gt;5,$L11&gt;5),"Scores go up to 5.",IF(OR($C11&lt;0,$D11&lt;0,$E11&lt;0,$F11&lt;0,$G11&lt;0,$H11&lt;0,$I11&lt;0,$J11&lt;0,$K11&lt;0,$L11&lt;0),"Scores cannot be negative.","READY"))))</f>
        <v/>
      </c>
    </row>
    <row r="12">
      <c r="A12" s="5" t="inlineStr"/>
      <c r="B12" s="10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7">
        <f>IF($A12="","",$C12*'Criteria'!$B$5 + $D12*'Criteria'!$B$6 + $E12*'Criteria'!$B$7 + $F12*'Criteria'!$B$8 + $G12*'Criteria'!$B$9 + $H12*'Criteria'!$B$10 + $I12*'Criteria'!$B$11 + $J12*'Criteria'!$B$12 + $K12*'Criteria'!$B$13 + $L12*'Criteria'!$B$14)</f>
        <v/>
      </c>
      <c r="N12" s="11">
        <f>IFERROR(IF($A12="","",$M12/'Criteria'!$B$18),"")</f>
        <v/>
      </c>
      <c r="O12" s="8">
        <f>IF($A12="","",IF($B12="","Enter an asking price.",IF(OR($C12&gt;5,$D12&gt;5,$E12&gt;5,$F12&gt;5,$G12&gt;5,$H12&gt;5,$I12&gt;5,$J12&gt;5,$K12&gt;5,$L12&gt;5),"Scores go up to 5.",IF(OR($C12&lt;0,$D12&lt;0,$E12&lt;0,$F12&lt;0,$G12&lt;0,$H12&lt;0,$I12&lt;0,$J12&lt;0,$K12&lt;0,$L12&lt;0),"Scores cannot be negative.","READY"))))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0" customWidth="1" min="5" max="5"/>
    <col width="13" customWidth="1" min="6" max="6"/>
    <col width="14" customWidth="1" min="7" max="7"/>
    <col width="15" customWidth="1" min="8" max="8"/>
  </cols>
  <sheetData>
    <row r="1">
      <c r="A1" s="1" t="inlineStr">
        <is>
          <t>Costs</t>
        </is>
      </c>
    </row>
    <row r="3">
      <c r="A3" s="2" t="inlineStr">
        <is>
          <t>What each one costs you every month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Home</t>
        </is>
      </c>
      <c r="B4" s="4" t="inlineStr">
        <is>
          <t>Loan payment</t>
        </is>
      </c>
      <c r="C4" s="4" t="inlineStr">
        <is>
          <t>Property tax</t>
        </is>
      </c>
      <c r="D4" s="4" t="inlineStr">
        <is>
          <t>Insurance</t>
        </is>
      </c>
      <c r="E4" s="4" t="inlineStr">
        <is>
          <t>HOA</t>
        </is>
      </c>
      <c r="F4" s="4" t="inlineStr">
        <is>
          <t>Commute</t>
        </is>
      </c>
      <c r="G4" s="4" t="inlineStr">
        <is>
          <t>Maintenance</t>
        </is>
      </c>
      <c r="H4" s="4" t="inlineStr">
        <is>
          <t>Total</t>
        </is>
      </c>
      <c r="J4" t="inlineStr">
        <is>
          <t>the figure your lender quoted</t>
        </is>
      </c>
    </row>
    <row r="5">
      <c r="A5" s="12">
        <f>'Homes'!$A5</f>
        <v/>
      </c>
      <c r="B5" s="10" t="n">
        <v>2150</v>
      </c>
      <c r="C5" s="10" t="n">
        <v>390</v>
      </c>
      <c r="D5" s="10" t="n">
        <v>95</v>
      </c>
      <c r="E5" s="10" t="n">
        <v>0</v>
      </c>
      <c r="F5" s="10" t="n">
        <v>120</v>
      </c>
      <c r="G5" s="10" t="n">
        <v>180</v>
      </c>
      <c r="H5" s="13">
        <f>IF('Homes'!$A5="","",SUM($B5:$G5))</f>
        <v/>
      </c>
    </row>
    <row r="6">
      <c r="A6" s="12">
        <f>'Homes'!$A6</f>
        <v/>
      </c>
      <c r="B6" s="10" t="n">
        <v>1980</v>
      </c>
      <c r="C6" s="10" t="n">
        <v>340</v>
      </c>
      <c r="D6" s="10" t="n">
        <v>88</v>
      </c>
      <c r="E6" s="10" t="n">
        <v>145</v>
      </c>
      <c r="F6" s="10" t="n">
        <v>210</v>
      </c>
      <c r="G6" s="10" t="n">
        <v>165</v>
      </c>
      <c r="H6" s="13">
        <f>IF('Homes'!$A6="","",SUM($B6:$G6))</f>
        <v/>
      </c>
    </row>
    <row r="7">
      <c r="A7" s="12">
        <f>'Homes'!$A7</f>
        <v/>
      </c>
      <c r="B7" s="10" t="n">
        <v>2340</v>
      </c>
      <c r="C7" s="10" t="n">
        <v>455</v>
      </c>
      <c r="D7" s="10" t="n">
        <v>102</v>
      </c>
      <c r="E7" s="10" t="n">
        <v>0</v>
      </c>
      <c r="F7" s="10" t="n">
        <v>60</v>
      </c>
      <c r="G7" s="10" t="n">
        <v>195</v>
      </c>
      <c r="H7" s="13">
        <f>IF('Homes'!$A7="","",SUM($B7:$G7))</f>
        <v/>
      </c>
    </row>
    <row r="8">
      <c r="A8" s="12">
        <f>'Homes'!$A8</f>
        <v/>
      </c>
      <c r="B8" s="10" t="inlineStr"/>
      <c r="C8" s="10" t="inlineStr"/>
      <c r="D8" s="10" t="inlineStr"/>
      <c r="E8" s="10" t="inlineStr"/>
      <c r="F8" s="10" t="inlineStr"/>
      <c r="G8" s="10" t="inlineStr"/>
      <c r="H8" s="13">
        <f>IF('Homes'!$A8="","",SUM($B8:$G8))</f>
        <v/>
      </c>
    </row>
    <row r="9">
      <c r="A9" s="12">
        <f>'Homes'!$A9</f>
        <v/>
      </c>
      <c r="B9" s="10" t="inlineStr"/>
      <c r="C9" s="10" t="inlineStr"/>
      <c r="D9" s="10" t="inlineStr"/>
      <c r="E9" s="10" t="inlineStr"/>
      <c r="F9" s="10" t="inlineStr"/>
      <c r="G9" s="10" t="inlineStr"/>
      <c r="H9" s="13">
        <f>IF('Homes'!$A9="","",SUM($B9:$G9))</f>
        <v/>
      </c>
    </row>
    <row r="10">
      <c r="A10" s="12">
        <f>'Homes'!$A10</f>
        <v/>
      </c>
      <c r="B10" s="10" t="inlineStr"/>
      <c r="C10" s="10" t="inlineStr"/>
      <c r="D10" s="10" t="inlineStr"/>
      <c r="E10" s="10" t="inlineStr"/>
      <c r="F10" s="10" t="inlineStr"/>
      <c r="G10" s="10" t="inlineStr"/>
      <c r="H10" s="13">
        <f>IF('Homes'!$A10="","",SUM($B10:$G10))</f>
        <v/>
      </c>
    </row>
    <row r="11">
      <c r="A11" s="12">
        <f>'Homes'!$A11</f>
        <v/>
      </c>
      <c r="B11" s="10" t="inlineStr"/>
      <c r="C11" s="10" t="inlineStr"/>
      <c r="D11" s="10" t="inlineStr"/>
      <c r="E11" s="10" t="inlineStr"/>
      <c r="F11" s="10" t="inlineStr"/>
      <c r="G11" s="10" t="inlineStr"/>
      <c r="H11" s="13">
        <f>IF('Homes'!$A11="","",SUM($B11:$G11))</f>
        <v/>
      </c>
    </row>
    <row r="12">
      <c r="A12" s="12">
        <f>'Homes'!$A12</f>
        <v/>
      </c>
      <c r="B12" s="10" t="inlineStr"/>
      <c r="C12" s="10" t="inlineStr"/>
      <c r="D12" s="10" t="inlineStr"/>
      <c r="E12" s="10" t="inlineStr"/>
      <c r="F12" s="10" t="inlineStr"/>
      <c r="G12" s="10" t="inlineStr"/>
      <c r="H12" s="13">
        <f>IF('Homes'!$A12="","",SUM($B12:$G12))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Results</t>
        </is>
      </c>
    </row>
    <row r="3">
      <c r="A3" s="2" t="inlineStr">
        <is>
          <t>Every home, side by side</t>
        </is>
      </c>
      <c r="B3" s="3" t="n"/>
      <c r="C3" s="3" t="n"/>
      <c r="D3" s="3" t="n"/>
      <c r="E3" s="3" t="n"/>
      <c r="F3" s="3" t="n"/>
    </row>
    <row r="4">
      <c r="A4" s="4" t="inlineStr">
        <is>
          <t>Home</t>
        </is>
      </c>
      <c r="B4" s="4" t="inlineStr">
        <is>
          <t>Score</t>
        </is>
      </c>
      <c r="C4" s="4" t="inlineStr">
        <is>
          <t>Of possible</t>
        </is>
      </c>
      <c r="D4" s="4" t="inlineStr">
        <is>
          <t>Cost per month</t>
        </is>
      </c>
      <c r="E4" s="4" t="inlineStr">
        <is>
          <t>Cost per point</t>
        </is>
      </c>
      <c r="F4" s="4" t="inlineStr"/>
    </row>
    <row r="5">
      <c r="A5" s="12">
        <f>'Homes'!$A5</f>
        <v/>
      </c>
      <c r="B5" s="7">
        <f>'Homes'!$M5</f>
        <v/>
      </c>
      <c r="C5" s="11">
        <f>'Homes'!$N5</f>
        <v/>
      </c>
      <c r="D5" s="13">
        <f>'Costs'!$H5</f>
        <v/>
      </c>
      <c r="E5" s="13">
        <f>IFERROR(IF(OR($B5="",$B5=0,$D5=""),"",$D5/$B5),"")</f>
        <v/>
      </c>
      <c r="F5" s="14">
        <f>IFERROR(IF($E5="","",IF($E5=MIN($E$5:$E$12),"Most of what you want per dollar","")),"")</f>
        <v/>
      </c>
    </row>
    <row r="6">
      <c r="A6" s="12">
        <f>'Homes'!$A6</f>
        <v/>
      </c>
      <c r="B6" s="7">
        <f>'Homes'!$M6</f>
        <v/>
      </c>
      <c r="C6" s="11">
        <f>'Homes'!$N6</f>
        <v/>
      </c>
      <c r="D6" s="13">
        <f>'Costs'!$H6</f>
        <v/>
      </c>
      <c r="E6" s="13">
        <f>IFERROR(IF(OR($B6="",$B6=0,$D6=""),"",$D6/$B6),"")</f>
        <v/>
      </c>
      <c r="F6" s="14">
        <f>IFERROR(IF($E6="","",IF($E6=MIN($E$5:$E$12),"Most of what you want per dollar","")),"")</f>
        <v/>
      </c>
    </row>
    <row r="7">
      <c r="A7" s="12">
        <f>'Homes'!$A7</f>
        <v/>
      </c>
      <c r="B7" s="7">
        <f>'Homes'!$M7</f>
        <v/>
      </c>
      <c r="C7" s="11">
        <f>'Homes'!$N7</f>
        <v/>
      </c>
      <c r="D7" s="13">
        <f>'Costs'!$H7</f>
        <v/>
      </c>
      <c r="E7" s="13">
        <f>IFERROR(IF(OR($B7="",$B7=0,$D7=""),"",$D7/$B7),"")</f>
        <v/>
      </c>
      <c r="F7" s="14">
        <f>IFERROR(IF($E7="","",IF($E7=MIN($E$5:$E$12),"Most of what you want per dollar","")),"")</f>
        <v/>
      </c>
    </row>
    <row r="8">
      <c r="A8" s="12">
        <f>'Homes'!$A8</f>
        <v/>
      </c>
      <c r="B8" s="7">
        <f>'Homes'!$M8</f>
        <v/>
      </c>
      <c r="C8" s="11">
        <f>'Homes'!$N8</f>
        <v/>
      </c>
      <c r="D8" s="13">
        <f>'Costs'!$H8</f>
        <v/>
      </c>
      <c r="E8" s="13">
        <f>IFERROR(IF(OR($B8="",$B8=0,$D8=""),"",$D8/$B8),"")</f>
        <v/>
      </c>
      <c r="F8" s="14">
        <f>IFERROR(IF($E8="","",IF($E8=MIN($E$5:$E$12),"Most of what you want per dollar","")),"")</f>
        <v/>
      </c>
    </row>
    <row r="9">
      <c r="A9" s="12">
        <f>'Homes'!$A9</f>
        <v/>
      </c>
      <c r="B9" s="7">
        <f>'Homes'!$M9</f>
        <v/>
      </c>
      <c r="C9" s="11">
        <f>'Homes'!$N9</f>
        <v/>
      </c>
      <c r="D9" s="13">
        <f>'Costs'!$H9</f>
        <v/>
      </c>
      <c r="E9" s="13">
        <f>IFERROR(IF(OR($B9="",$B9=0,$D9=""),"",$D9/$B9),"")</f>
        <v/>
      </c>
      <c r="F9" s="14">
        <f>IFERROR(IF($E9="","",IF($E9=MIN($E$5:$E$12),"Most of what you want per dollar","")),"")</f>
        <v/>
      </c>
    </row>
    <row r="10">
      <c r="A10" s="12">
        <f>'Homes'!$A10</f>
        <v/>
      </c>
      <c r="B10" s="7">
        <f>'Homes'!$M10</f>
        <v/>
      </c>
      <c r="C10" s="11">
        <f>'Homes'!$N10</f>
        <v/>
      </c>
      <c r="D10" s="13">
        <f>'Costs'!$H10</f>
        <v/>
      </c>
      <c r="E10" s="13">
        <f>IFERROR(IF(OR($B10="",$B10=0,$D10=""),"",$D10/$B10),"")</f>
        <v/>
      </c>
      <c r="F10" s="14">
        <f>IFERROR(IF($E10="","",IF($E10=MIN($E$5:$E$12),"Most of what you want per dollar","")),"")</f>
        <v/>
      </c>
    </row>
    <row r="11">
      <c r="A11" s="12">
        <f>'Homes'!$A11</f>
        <v/>
      </c>
      <c r="B11" s="7">
        <f>'Homes'!$M11</f>
        <v/>
      </c>
      <c r="C11" s="11">
        <f>'Homes'!$N11</f>
        <v/>
      </c>
      <c r="D11" s="13">
        <f>'Costs'!$H11</f>
        <v/>
      </c>
      <c r="E11" s="13">
        <f>IFERROR(IF(OR($B11="",$B11=0,$D11=""),"",$D11/$B11),"")</f>
        <v/>
      </c>
      <c r="F11" s="14">
        <f>IFERROR(IF($E11="","",IF($E11=MIN($E$5:$E$12),"Most of what you want per dollar","")),"")</f>
        <v/>
      </c>
    </row>
    <row r="12">
      <c r="A12" s="12">
        <f>'Homes'!$A12</f>
        <v/>
      </c>
      <c r="B12" s="7">
        <f>'Homes'!$M12</f>
        <v/>
      </c>
      <c r="C12" s="11">
        <f>'Homes'!$N12</f>
        <v/>
      </c>
      <c r="D12" s="13">
        <f>'Costs'!$H12</f>
        <v/>
      </c>
      <c r="E12" s="13">
        <f>IFERROR(IF(OR($B12="",$B12=0,$D12=""),"",$D12/$B12),"")</f>
        <v/>
      </c>
      <c r="F12" s="14">
        <f>IFERROR(IF($E12="","",IF($E12=MIN($E$5:$E$12),"Most of what you want per dollar","")),"")</f>
        <v/>
      </c>
    </row>
    <row r="14">
      <c r="A14" s="2" t="inlineStr">
        <is>
          <t>Summary</t>
        </is>
      </c>
      <c r="B14" s="3" t="n"/>
      <c r="C14" s="3" t="n"/>
      <c r="D14" s="3" t="n"/>
      <c r="E14" s="3" t="n"/>
      <c r="F14" s="3" t="n"/>
    </row>
    <row r="15">
      <c r="A15" t="inlineStr">
        <is>
          <t>Highest score</t>
        </is>
      </c>
      <c r="B15" s="7">
        <f>MAX($B$5:$B$12)</f>
        <v/>
      </c>
    </row>
    <row r="16">
      <c r="A16" t="inlineStr">
        <is>
          <t>Lowest monthly cost</t>
        </is>
      </c>
      <c r="B16" s="13">
        <f>MIN($D$5:$D$12)</f>
        <v/>
      </c>
    </row>
    <row r="17">
      <c r="A17" t="inlineStr">
        <is>
          <t>Best cost per point</t>
        </is>
      </c>
      <c r="B17" s="15">
        <f>MIN($E$5:$E$12)</f>
        <v/>
      </c>
    </row>
    <row r="19">
      <c r="B19" s="9">
        <f>IF(MAX($B$5:$B$12)=0,"Score at least one home to see results.","")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4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9" t="inlineStr">
        <is>
          <t>Not a valuation</t>
        </is>
      </c>
      <c r="C4" t="inlineStr">
        <is>
          <t>It does not estimate what a home is worth or what it should sell for.</t>
        </is>
      </c>
    </row>
    <row r="5">
      <c r="A5" t="inlineStr">
        <is>
          <t>Not lending advice</t>
        </is>
      </c>
      <c r="C5" t="inlineStr">
        <is>
          <t>Enter the monthly payment your lender quoted. A spreadsheet guess would be worse than the real number.</t>
        </is>
      </c>
    </row>
    <row r="7">
      <c r="A7" s="2" t="inlineStr">
        <is>
          <t>Terms</t>
        </is>
      </c>
      <c r="B7" s="3" t="n"/>
      <c r="C7" s="3" t="n"/>
    </row>
    <row r="8">
      <c r="A8" s="4" t="inlineStr">
        <is>
          <t>Weight</t>
        </is>
      </c>
      <c r="C8" t="inlineStr">
        <is>
          <t>How much a criterion matters to you, 1 to 5.</t>
        </is>
      </c>
    </row>
    <row r="9">
      <c r="A9" s="4" t="inlineStr">
        <is>
          <t>Score</t>
        </is>
      </c>
      <c r="C9" t="inlineStr">
        <is>
          <t>How well one home does on one criterion, 1 to 5.</t>
        </is>
      </c>
    </row>
    <row r="10">
      <c r="A10" s="4" t="inlineStr">
        <is>
          <t>Of possible</t>
        </is>
      </c>
      <c r="C10" t="inlineStr">
        <is>
          <t>Your score as a share of the highest score any home could reach.</t>
        </is>
      </c>
    </row>
    <row r="11">
      <c r="A11" s="4" t="inlineStr">
        <is>
          <t>Cost per point</t>
        </is>
      </c>
      <c r="C11" t="inlineStr">
        <is>
          <t>Monthly cost divided by score. Lower means more of what you want per dollar.</t>
        </is>
      </c>
    </row>
    <row r="13">
      <c r="A13" s="2" t="inlineStr">
        <is>
          <t>Editable assumptions</t>
        </is>
      </c>
      <c r="B13" s="3" t="n"/>
      <c r="C13" s="3" t="n"/>
    </row>
    <row r="14">
      <c r="A14" s="4" t="inlineStr">
        <is>
          <t>Assumption</t>
        </is>
      </c>
      <c r="B14" s="4" t="inlineStr">
        <is>
          <t>Default</t>
        </is>
      </c>
      <c r="C14" s="4" t="inlineStr">
        <is>
          <t>Change it on</t>
        </is>
      </c>
    </row>
    <row r="15">
      <c r="A15" t="inlineStr">
        <is>
          <t>Criteria and weights</t>
        </is>
      </c>
      <c r="B15" t="inlineStr">
        <is>
          <t>10 shown</t>
        </is>
      </c>
      <c r="C15" t="inlineStr">
        <is>
          <t>Criteria</t>
        </is>
      </c>
    </row>
    <row r="16">
      <c r="A16" t="inlineStr">
        <is>
          <t>Score range</t>
        </is>
      </c>
      <c r="B16" t="inlineStr">
        <is>
          <t>1 to 5</t>
        </is>
      </c>
      <c r="C16" t="inlineStr">
        <is>
          <t>fixed</t>
        </is>
      </c>
    </row>
    <row r="17">
      <c r="A17" t="inlineStr">
        <is>
          <t>Homes compared</t>
        </is>
      </c>
      <c r="B17" t="inlineStr">
        <is>
          <t>8 available</t>
        </is>
      </c>
      <c r="C17" t="inlineStr">
        <is>
          <t>Homes</t>
        </is>
      </c>
    </row>
    <row r="19">
      <c r="A19" s="2" t="inlineStr">
        <is>
          <t>Cell colors</t>
        </is>
      </c>
      <c r="B19" s="3" t="n"/>
      <c r="C19" s="3" t="n"/>
    </row>
    <row r="20">
      <c r="A20" s="5" t="n"/>
      <c r="C20" t="inlineStr">
        <is>
          <t>Enter your own numbers</t>
        </is>
      </c>
    </row>
    <row r="21">
      <c r="A21" s="12" t="n"/>
      <c r="C21" t="inlineStr">
        <is>
          <t>Calculated automatically</t>
        </is>
      </c>
    </row>
    <row r="22">
      <c r="A22" s="16" t="n"/>
      <c r="C22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2026-09-03T20:16:20Z</dcterms:created>
  <dcterms:modified xsi:type="dcterms:W3CDTF">2026-09-03T20:16:20Z</dcterms:modified>
</cp:coreProperties>
</file>