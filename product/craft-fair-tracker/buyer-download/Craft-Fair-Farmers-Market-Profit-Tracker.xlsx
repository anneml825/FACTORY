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loext="http://schemas.libreoffice.org/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argets" sheetId="2" state="visible" r:id="rId4"/>
    <sheet name="Market Days" sheetId="3" state="visible" r:id="rId5"/>
    <sheet name="Product Sales" sheetId="4" state="visible" r:id="rId6"/>
    <sheet name="Market Comparison" sheetId="5" state="visible" r:id="rId7"/>
    <sheet name="Dashboard" sheetId="6" state="visible" r:id="rId8"/>
  </sheets>
  <calcPr iterateCount="100" refMode="A1" iterate="false" iterateDelta="0.001" fullCalcOnLoad="1"/>
  <extLst>
    <ext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<sst xmlns="http://schemas.openxmlformats.org/spreadsheetml/2006/main" count="109" uniqueCount="79">
  <si>
    <t xml:space="preserve">Craft Fair &amp; Farmers Market Profit Tracker — Start Here</t>
  </si>
  <si>
    <t xml:space="preserve">Use your own sales, costs and time to compare markets before paying the next booth fee.</t>
  </si>
  <si>
    <t xml:space="preserve">USE THE WORKBOOK IN THIS ORDER</t>
  </si>
  <si>
    <t xml:space="preserve">1 — TARGETS: Enter the minimum profit margin, profit per market hour and stock sold % you want to use. These are your goals—not recommendations.</t>
  </si>
  <si>
    <t xml:space="preserve">2 — MARKET DAYS: Enter one row per event: date, market, booth fee, travel, hours worked at the market and the event total sales you want to keep for reference.</t>
  </si>
  <si>
    <t xml:space="preserve">3 — PRODUCT SALES: Add one row per product batch sold there. These product-sales rows drive the calculated sales and profit results. Enter units, sales, product costs, product work hours and the value you assign to one hour of that work.</t>
  </si>
  <si>
    <t xml:space="preserve">4 — MARKET COMPARISON: Compare up to five market names. MEETS TARGETS means all three of your entered goals were reached; REVIEW means at least one was not.</t>
  </si>
  <si>
    <t xml:space="preserve">COLOR KEY</t>
  </si>
  <si>
    <t xml:space="preserve">TYPE HERE</t>
  </si>
  <si>
    <t xml:space="preserve">CALCULATED</t>
  </si>
  <si>
    <t xml:space="preserve">CHECK / ALERT</t>
  </si>
  <si>
    <t xml:space="preserve">HOW THE NUMBERS WORK</t>
  </si>
  <si>
    <t xml:space="preserve">Hours Worked on Market Days means time spent working the event and is used for the market-level Profit per Market Hour result. Product Work Hours on Product Sales means time spent making or preparing that product batch; Product Work Hours × Value of Your Time / Hour is included in the entered costs. Booth fee and travel are divided evenly across READY product rows for that event.</t>
  </si>
  <si>
    <t xml:space="preserve">IMPORTANT BEFORE YOU USE THE RESULTS</t>
  </si>
  <si>
    <t xml:space="preserve">Profit After Entered Costs means sales minus entered ingredients, packaging, product work hours × your entered time value, and that row's equal share of booth fee + travel. It is not accounting profit, take-home pay or a tax result, and it does not include every possible business expense. Capacity: 50 market-day rows, 100 product-sales rows and 5 market names in Market Comparison.</t>
  </si>
  <si>
    <t xml:space="preserve">Decision Targets</t>
  </si>
  <si>
    <t xml:space="preserve">Set the three goals used for MEETS TARGETS. These are your choices—not suggested business targets.</t>
  </si>
  <si>
    <t xml:space="preserve">Your Target</t>
  </si>
  <si>
    <t xml:space="preserve">Value</t>
  </si>
  <si>
    <t xml:space="preserve">What This Means</t>
  </si>
  <si>
    <t xml:space="preserve">Input Check / What to Fix</t>
  </si>
  <si>
    <t xml:space="preserve">Minimum Profit Margin</t>
  </si>
  <si>
    <t xml:space="preserve">Profit After Entered Costs ÷ Sales. Enter 0% to under 100%.</t>
  </si>
  <si>
    <t xml:space="preserve">Minimum Profit per Market Hour</t>
  </si>
  <si>
    <t xml:space="preserve">Minimum Profit After Entered Costs you want for each hour worked at the market.</t>
  </si>
  <si>
    <t xml:space="preserve">Minimum Stock Sold %</t>
  </si>
  <si>
    <t xml:space="preserve">Units sold ÷ units brought. Enter 0% to 100%.</t>
  </si>
  <si>
    <t xml:space="preserve">Market Days</t>
  </si>
  <si>
    <t xml:space="preserve">Enter one row per event. Hours Worked at Market means time spent working that event—not time spent making products beforehand. Event Total Sales is kept for reference; calculated results use the product sales entered on Product Sales.</t>
  </si>
  <si>
    <t xml:space="preserve">Market Date</t>
  </si>
  <si>
    <t xml:space="preserve">Market Name</t>
  </si>
  <si>
    <t xml:space="preserve">Booth Fee</t>
  </si>
  <si>
    <t xml:space="preserve">Travel Cost</t>
  </si>
  <si>
    <t xml:space="preserve">Hours Worked at Market</t>
  </si>
  <si>
    <t xml:space="preserve">Event Total Sales (Reference)</t>
  </si>
  <si>
    <t xml:space="preserve">Transactions (Optional)</t>
  </si>
  <si>
    <t xml:space="preserve">Notes (Optional)</t>
  </si>
  <si>
    <t xml:space="preserve">Saturday Market</t>
  </si>
  <si>
    <t xml:space="preserve">Sample — replace</t>
  </si>
  <si>
    <t xml:space="preserve">Riverside Pop-Up</t>
  </si>
  <si>
    <t xml:space="preserve">Night Bazaar</t>
  </si>
  <si>
    <t xml:space="preserve">Product Sales by Market</t>
  </si>
  <si>
    <t xml:space="preserve">Enter one row per product batch. Product Work Hours × Value of Your Time / Hour is included in entered costs; market booth fee + travel is divided evenly across READY product rows for that event.</t>
  </si>
  <si>
    <t xml:space="preserve">Product Batch</t>
  </si>
  <si>
    <t xml:space="preserve">Units Brought</t>
  </si>
  <si>
    <t xml:space="preserve">Units Sold</t>
  </si>
  <si>
    <t xml:space="preserve">Sales</t>
  </si>
  <si>
    <t xml:space="preserve">Ingredients Cost</t>
  </si>
  <si>
    <t xml:space="preserve">Packaging Cost</t>
  </si>
  <si>
    <t xml:space="preserve">Product Work Hours</t>
  </si>
  <si>
    <t xml:space="preserve">Value of Your Time / Hour</t>
  </si>
  <si>
    <t xml:space="preserve">Share of Booth + Travel</t>
  </si>
  <si>
    <t xml:space="preserve">Total Entered Cost</t>
  </si>
  <si>
    <t xml:space="preserve">Profit After Entered Costs</t>
  </si>
  <si>
    <t xml:space="preserve">Profit Margin</t>
  </si>
  <si>
    <t xml:space="preserve">Stock Sold %</t>
  </si>
  <si>
    <t xml:space="preserve">Profit per Product Work Hour</t>
  </si>
  <si>
    <t xml:space="preserve">Target Check</t>
  </si>
  <si>
    <t xml:space="preserve">Lavender soap B-14</t>
  </si>
  <si>
    <t xml:space="preserve">Citrus candle C-08</t>
  </si>
  <si>
    <t xml:space="preserve">Lavender soap B-15</t>
  </si>
  <si>
    <t xml:space="preserve">Citrus candle C-09</t>
  </si>
  <si>
    <t xml:space="preserve">Lavender soap B-16</t>
  </si>
  <si>
    <t xml:space="preserve">Citrus candle C-10</t>
  </si>
  <si>
    <t xml:space="preserve">Market Comparison</t>
  </si>
  <si>
    <t xml:space="preserve">Enter up to five market names exactly as they appear on Market Days. Results combine READY rows for each market.</t>
  </si>
  <si>
    <t xml:space="preserve">Profit per Market Hour</t>
  </si>
  <si>
    <t xml:space="preserve">Market 4</t>
  </si>
  <si>
    <t xml:space="preserve">Market 5</t>
  </si>
  <si>
    <t xml:space="preserve">Craft Fair &amp; Farmers Market Profit Tracker</t>
  </si>
  <si>
    <t xml:space="preserve">Compare READY entries only. Profit means sales minus the specific costs entered in this workbook—not accounting profit or take-home pay.</t>
  </si>
  <si>
    <t xml:space="preserve">SALES</t>
  </si>
  <si>
    <t xml:space="preserve">PROFIT AFTER ENTERED COSTS</t>
  </si>
  <si>
    <t xml:space="preserve">OVERALL PROFIT MARGIN</t>
  </si>
  <si>
    <t xml:space="preserve">UNSOLD UNITS</t>
  </si>
  <si>
    <t xml:space="preserve">Market</t>
  </si>
  <si>
    <t xml:space="preserve">SAMPLE DATA — rows 5 to 7 below are examples. Delete them before entering your own market days.</t>
  </si>
  <si>
    <t xml:space="preserve">SAMPLE DATA — rows 5 to 10 below are examples. Delete them before entering your own product sales.</t>
  </si>
  <si>
    <t xml:space="preserve">SAMPLE DATA — the market names below are examples. Replace them with your own market names.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</si>
</sst>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.00"/>
    <numFmt numFmtId="167" formatCode="yyyy\-mm\-dd"/>
    <numFmt numFmtId="168" formatCode="0.00"/>
    <numFmt numFmtId="169" formatCode="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1"/>
      <color rgb="FFFFFFFF"/>
      <name val="Aptos Display"/>
      <family val="0"/>
      <charset val="1"/>
    </font>
    <font>
      <i val="true"/>
      <sz val="10"/>
      <color rgb="FF183A2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83A26"/>
      <name val="Calibri"/>
      <family val="0"/>
      <charset val="1"/>
    </font>
    <font>
      <b val="true"/>
      <sz val="11"/>
      <color rgb="FF137A57"/>
      <name val="Calibri"/>
      <family val="0"/>
      <charset val="1"/>
    </font>
    <font>
      <b val="true"/>
      <sz val="11"/>
      <color rgb="FFB42318"/>
      <name val="Calibri"/>
      <family val="0"/>
      <charset val="1"/>
    </font>
    <font>
      <sz val="11"/>
      <color rgb="FF183A26"/>
      <name val="Calibri"/>
      <family val="0"/>
      <charset val="1"/>
    </font>
    <font>
      <sz val="11"/>
      <color rgb="FF667085"/>
      <name val="Calibri"/>
      <family val="0"/>
      <charset val="1"/>
    </font>
    <font>
      <sz val="11"/>
      <color rgb="FF182230"/>
      <name val="Calibri"/>
      <family val="0"/>
      <charset val="1"/>
    </font>
    <font>
      <b val="true"/>
      <sz val="11"/>
      <color rgb="FF182230"/>
      <name val="Calibri"/>
      <family val="0"/>
      <charset val="1"/>
    </font>
    <font>
      <b val="true"/>
      <sz val="9"/>
      <color rgb="FF183A26"/>
      <name val="Calibri"/>
      <family val="0"/>
      <charset val="1"/>
    </font>
    <font>
      <b val="true"/>
      <sz val="20"/>
      <color rgb="FF2F7D4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83A26"/>
        <bgColor rgb="FF143D2B"/>
      </patternFill>
    </fill>
    <fill>
      <patternFill patternType="solid">
        <fgColor rgb="FFDDF1E3"/>
        <bgColor rgb="FFE7F6EE"/>
      </patternFill>
    </fill>
    <fill>
      <patternFill patternType="solid">
        <fgColor rgb="FF2F7D4A"/>
        <bgColor rgb="FF137A57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1F7F2"/>
      </patternFill>
    </fill>
    <fill>
      <patternFill patternType="solid">
        <fgColor rgb="FFEAF3FF"/>
        <bgColor rgb="FFEAF8F1"/>
      </patternFill>
    </fill>
    <fill>
      <patternFill patternType="solid">
        <fgColor rgb="FFEAF8F1"/>
        <bgColor rgb="FFE7F6EE"/>
      </patternFill>
    </fill>
    <fill>
      <patternFill patternType="solid">
        <fgColor rgb="FFFFF0D8"/>
        <bgColor rgb="FFFFF0D5"/>
      </patternFill>
    </fill>
    <fill>
      <patternFill patternType="solid">
        <fgColor rgb="FF143D2B"/>
        <bgColor rgb="FF183A26"/>
      </patternFill>
    </fill>
    <fill>
      <patternFill patternType="solid">
        <fgColor rgb="FFF1F7F2"/>
        <bgColor rgb="FFF4F6F8"/>
      </patternFill>
    </fill>
    <fill>
      <patternFill patternType="solid">
        <fgColor rgb="FFFFF0D5"/>
        <bgColor rgb="FFFFF0D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7DEE7"/>
      </left>
      <right style="thin">
        <color rgb="FFD7DEE7"/>
      </right>
      <top style="thin">
        <color rgb="FFD7DEE7"/>
      </top>
      <bottom style="thin">
        <color rgb="FFD7DEE7"/>
      </bottom>
      <diagonal/>
    </border>
    <border diagonalUp="false" diagonalDown="false">
      <left/>
      <right/>
      <top/>
      <bottom style="thin">
        <color rgb="FFD7DEE7"/>
      </bottom>
      <diagonal/>
    </border>
    <border diagonalUp="false" diagonalDown="false">
      <left/>
      <right/>
      <top style="thin">
        <color rgb="FFD7DEE7"/>
      </top>
      <bottom style="thin">
        <color rgb="FFD7DEE7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7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1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7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7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7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7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7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8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8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8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8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5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7" fillId="5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3">
    <dxf>
      <font>
        <b val="1"/>
        <color rgb="FF2F7D4A"/>
      </font>
      <fill>
        <patternFill>
          <bgColor rgb="FFE7F6EE"/>
        </patternFill>
      </fill>
    </dxf>
    <dxf>
      <font>
        <b val="1"/>
        <color rgb="FF2F7D4A"/>
      </font>
      <fill>
        <patternFill>
          <bgColor rgb="FFE7F6EE"/>
        </patternFill>
      </fill>
    </dxf>
    <dxf>
      <font>
        <b val="1"/>
        <color rgb="FF2F7D4A"/>
      </font>
      <fill>
        <patternFill>
          <bgColor rgb="FFE7F6EE"/>
        </patternFill>
      </fill>
    </dxf>
    <dxf>
      <font>
        <b val="1"/>
        <color rgb="FF2F7D4A"/>
      </font>
      <fill>
        <patternFill>
          <bgColor rgb="FFE7F6EE"/>
        </patternFill>
      </fill>
    </dxf>
    <dxf>
      <font>
        <b val="1"/>
        <color rgb="FFA24B22"/>
      </font>
      <fill>
        <patternFill>
          <bgColor rgb="FFFFF0D5"/>
        </patternFill>
      </fill>
    </dxf>
    <dxf>
      <font>
        <b val="1"/>
        <color rgb="FFA32626"/>
      </font>
      <fill>
        <patternFill>
          <bgColor rgb="FFF9DDD6"/>
        </patternFill>
      </fill>
    </dxf>
    <dxf>
      <font>
        <b val="1"/>
        <color rgb="FF2F7D4A"/>
      </font>
      <fill>
        <patternFill>
          <bgColor rgb="FFE7F6EE"/>
        </patternFill>
      </fill>
    </dxf>
    <dxf>
      <font>
        <b val="1"/>
        <color rgb="FF2F7D4A"/>
      </font>
      <fill>
        <patternFill>
          <bgColor rgb="FFE7F6EE"/>
        </patternFill>
      </fill>
    </dxf>
    <dxf>
      <font>
        <b val="1"/>
        <color rgb="FFA24B22"/>
      </font>
      <fill>
        <patternFill>
          <bgColor rgb="FFFFF0D5"/>
        </patternFill>
      </fill>
    </dxf>
    <dxf>
      <font>
        <b val="1"/>
        <color rgb="FFA32626"/>
      </font>
      <fill>
        <patternFill>
          <bgColor rgb="FFF9DDD6"/>
        </patternFill>
      </fill>
    </dxf>
    <dxf>
      <font>
        <b val="1"/>
        <color rgb="FF2F7D4A"/>
      </font>
      <fill>
        <patternFill>
          <bgColor rgb="FFE7F6EE"/>
        </patternFill>
      </fill>
    </dxf>
    <dxf>
      <font>
        <b val="1"/>
        <color rgb="FFA24B22"/>
      </font>
      <fill>
        <patternFill>
          <bgColor rgb="FFFFF0D5"/>
        </patternFill>
      </fill>
    </dxf>
    <dxf>
      <font>
        <b val="1"/>
        <color rgb="FFA32626"/>
      </font>
      <fill>
        <patternFill>
          <bgColor rgb="FFF9DD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1F7F2"/>
      <rgbColor rgb="FFFF00FF"/>
      <rgbColor rgb="FF00FFFF"/>
      <rgbColor rgb="FF800000"/>
      <rgbColor rgb="FF008000"/>
      <rgbColor rgb="FF000080"/>
      <rgbColor rgb="FF808000"/>
      <rgbColor rgb="FF800080"/>
      <rgbColor rgb="FF137A57"/>
      <rgbColor rgb="FFCCCCCC"/>
      <rgbColor rgb="FF8B8B8B"/>
      <rgbColor rgb="FF9999FF"/>
      <rgbColor rgb="FFA24B22"/>
      <rgbColor rgb="FFFFF0D5"/>
      <rgbColor rgb="FFE7F6EE"/>
      <rgbColor rgb="FF660066"/>
      <rgbColor rgb="FFFF8080"/>
      <rgbColor rgb="FF0066CC"/>
      <rgbColor rgb="FFD7DEE7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AF8F1"/>
      <rgbColor rgb="FFDDF1E3"/>
      <rgbColor rgb="FFFFF0D8"/>
      <rgbColor rgb="FFD9D9D9"/>
      <rgbColor rgb="FFF4F6F8"/>
      <rgbColor rgb="FFEAF3FF"/>
      <rgbColor rgb="FFF9DDD6"/>
      <rgbColor rgb="FF3366FF"/>
      <rgbColor rgb="FF33CCCC"/>
      <rgbColor rgb="FF99CC00"/>
      <rgbColor rgb="FFFFCC00"/>
      <rgbColor rgb="FFFF9900"/>
      <rgbColor rgb="FFE97132"/>
      <rgbColor rgb="FF667085"/>
      <rgbColor rgb="FF969696"/>
      <rgbColor rgb="FF003366"/>
      <rgbColor rgb="FF2F7D4A"/>
      <rgbColor rgb="FF143D2B"/>
      <rgbColor rgb="FF182230"/>
      <rgbColor rgb="FFA32626"/>
      <rgbColor rgb="FFB42318"/>
      <rgbColor rgb="FF333399"/>
      <rgbColor rgb="FF183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Sales vs profit after entered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Saturday Market</c:v>
                </c:pt>
                <c:pt idx="1">
                  <c:v>Riverside Pop-Up</c:v>
                </c:pt>
                <c:pt idx="2">
                  <c:v>Night Bazaar</c:v>
                </c:pt>
                <c:pt idx="3">
                  <c:v>Market 4</c:v>
                </c:pt>
                <c:pt idx="4">
                  <c:v>Market 5</c:v>
                </c:pt>
              </c:strCache>
            </c:strRef>
          </c:cat>
          <c:val>
            <c:numRef>
              <c:f>Dashboard!$B$11:$B$15</c:f>
              <c:numCache>
                <c:formatCode>\$#,##0.00</c:formatCode>
                <c:ptCount val="5"/>
                <c:pt idx="0">
                  <c:v>487</c:v>
                </c:pt>
                <c:pt idx="1">
                  <c:v>478</c:v>
                </c:pt>
                <c:pt idx="2">
                  <c:v>509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Saturday Market</c:v>
                </c:pt>
                <c:pt idx="1">
                  <c:v>Riverside Pop-Up</c:v>
                </c:pt>
                <c:pt idx="2">
                  <c:v>Night Bazaar</c:v>
                </c:pt>
                <c:pt idx="3">
                  <c:v>Market 4</c:v>
                </c:pt>
                <c:pt idx="4">
                  <c:v>Market 5</c:v>
                </c:pt>
              </c:strCache>
            </c:strRef>
          </c:cat>
          <c:val>
            <c:numRef>
              <c:f>Dashboard!$C$11:$C$15</c:f>
              <c:numCache>
                <c:formatCode>\$#,##0.00</c:formatCode>
                <c:ptCount val="5"/>
                <c:pt idx="0">
                  <c:v>109</c:v>
                </c:pt>
                <c:pt idx="1">
                  <c:v>182</c:v>
                </c:pt>
                <c:pt idx="2">
                  <c:v>51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6321145"/>
        <c:axId val="88210559"/>
      </c:barChart>
      <c:catAx>
        <c:axId val="6632114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8210559"/>
        <c:crosses val="autoZero"/>
        <c:auto val="1"/>
        <c:lblAlgn val="ctr"/>
        <c:lblOffset val="100"/>
        <c:noMultiLvlLbl val="0"/>
      </c:catAx>
      <c:valAx>
        <c:axId val="8821055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6321145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9</xdr:row>
      <xdr:rowOff>0</xdr:rowOff>
    </xdr:from>
    <xdr:to>
      <xdr:col>13</xdr:col>
      <xdr:colOff>916200</xdr:colOff>
      <xdr:row>23</xdr:row>
      <xdr:rowOff>190080</xdr:rowOff>
    </xdr:to>
    <xdr:graphicFrame>
      <xdr:nvGraphicFramePr>
        <xdr:cNvPr id="1" name="Chart"/>
        <xdr:cNvGraphicFramePr/>
      </xdr:nvGraphicFramePr>
      <xdr:xfrm>
        <a:off x="10784160" y="2629080"/>
        <a:ext cx="4581360" cy="354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"/>
    <col collapsed="false" customWidth="true" hidden="false" outlineLevel="0" max="5" min="3" style="0" width="16"/>
    <col collapsed="false" customWidth="true" hidden="false" outlineLevel="0" max="6" min="6" style="0" width="20"/>
    <col collapsed="false" customWidth="true" hidden="false" outlineLevel="0" max="8" min="7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34" hidden="false" customHeight="true" outlineLevel="0" collapsed="false">
      <c r="A6" s="4" t="n">
        <v>1</v>
      </c>
      <c r="B6" s="5" t="s">
        <v>3</v>
      </c>
      <c r="C6" s="5"/>
      <c r="D6" s="5"/>
      <c r="E6" s="5"/>
      <c r="F6" s="5"/>
      <c r="G6" s="5"/>
      <c r="H6" s="5"/>
    </row>
    <row r="7" customFormat="false" ht="34" hidden="false" customHeight="true" outlineLevel="0" collapsed="false">
      <c r="A7" s="4" t="n">
        <v>2</v>
      </c>
      <c r="B7" s="6" t="s">
        <v>4</v>
      </c>
      <c r="C7" s="6"/>
      <c r="D7" s="6"/>
      <c r="E7" s="6"/>
      <c r="F7" s="6"/>
      <c r="G7" s="6"/>
      <c r="H7" s="6"/>
    </row>
    <row r="8" customFormat="false" ht="34" hidden="false" customHeight="true" outlineLevel="0" collapsed="false">
      <c r="A8" s="4" t="n">
        <v>3</v>
      </c>
      <c r="B8" s="5" t="s">
        <v>5</v>
      </c>
      <c r="C8" s="5"/>
      <c r="D8" s="5"/>
      <c r="E8" s="5"/>
      <c r="F8" s="5"/>
      <c r="G8" s="5"/>
      <c r="H8" s="5"/>
    </row>
    <row r="9" customFormat="false" ht="34" hidden="false" customHeight="true" outlineLevel="0" collapsed="false">
      <c r="A9" s="4" t="n">
        <v>4</v>
      </c>
      <c r="B9" s="6" t="s">
        <v>6</v>
      </c>
      <c r="C9" s="6"/>
      <c r="D9" s="6"/>
      <c r="E9" s="6"/>
      <c r="F9" s="6"/>
      <c r="G9" s="6"/>
      <c r="H9" s="6"/>
    </row>
    <row r="11" customFormat="false" ht="24" hidden="false" customHeight="true" outlineLevel="0" collapsed="false">
      <c r="A11" s="3" t="s">
        <v>7</v>
      </c>
      <c r="B11" s="3"/>
      <c r="C11" s="3"/>
      <c r="D11" s="3"/>
      <c r="E11" s="3"/>
      <c r="F11" s="3"/>
      <c r="G11" s="3"/>
      <c r="H11" s="3"/>
    </row>
    <row r="13" customFormat="false" ht="15" hidden="false" customHeight="false" outlineLevel="0" collapsed="false">
      <c r="A13" s="7" t="s">
        <v>8</v>
      </c>
      <c r="B13" s="7"/>
      <c r="D13" s="8" t="s">
        <v>9</v>
      </c>
      <c r="E13" s="8"/>
      <c r="G13" s="9" t="s">
        <v>10</v>
      </c>
      <c r="H13" s="9"/>
    </row>
    <row r="14" customFormat="false" ht="15" hidden="false" customHeight="false" outlineLevel="0" collapsed="false">
      <c r="A14" s="7"/>
      <c r="B14" s="7"/>
      <c r="D14" s="8"/>
      <c r="E14" s="8"/>
      <c r="G14" s="9"/>
      <c r="H14" s="9"/>
    </row>
    <row r="16" customFormat="false" ht="24" hidden="false" customHeight="true" outlineLevel="0" collapsed="false">
      <c r="A16" s="3" t="s">
        <v>11</v>
      </c>
      <c r="B16" s="3"/>
      <c r="C16" s="3"/>
      <c r="D16" s="3"/>
      <c r="E16" s="3"/>
      <c r="F16" s="3"/>
      <c r="G16" s="3"/>
      <c r="H16" s="3"/>
    </row>
    <row r="18" customFormat="false" ht="30" hidden="false" customHeight="true" outlineLevel="0" collapsed="false">
      <c r="A18" s="10" t="s">
        <v>12</v>
      </c>
      <c r="B18" s="10"/>
      <c r="C18" s="10"/>
      <c r="D18" s="10"/>
      <c r="E18" s="10"/>
      <c r="F18" s="10"/>
      <c r="G18" s="10"/>
      <c r="H18" s="10"/>
    </row>
    <row r="19" customFormat="false" ht="30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</row>
    <row r="20" customFormat="false" ht="30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</row>
    <row r="22" customFormat="false" ht="24" hidden="false" customHeight="true" outlineLevel="0" collapsed="false">
      <c r="A22" s="3" t="s">
        <v>13</v>
      </c>
      <c r="B22" s="3"/>
      <c r="C22" s="3"/>
      <c r="D22" s="3"/>
      <c r="E22" s="3"/>
      <c r="F22" s="3"/>
      <c r="G22" s="3"/>
      <c r="H22" s="3"/>
    </row>
    <row r="24" customFormat="false" ht="30" hidden="false" customHeight="true" outlineLevel="0" collapsed="false">
      <c r="A24" s="11" t="s">
        <v>14</v>
      </c>
      <c r="B24" s="11"/>
      <c r="C24" s="11"/>
      <c r="D24" s="11"/>
      <c r="E24" s="11"/>
      <c r="F24" s="11"/>
      <c r="G24" s="11"/>
      <c r="H24" s="11"/>
    </row>
    <row r="25" customFormat="false" ht="30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30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</row>
  </sheetData>
  <mergeCells count="15">
    <mergeCell ref="A1:H1"/>
    <mergeCell ref="A2:H2"/>
    <mergeCell ref="A4:H4"/>
    <mergeCell ref="B6:H6"/>
    <mergeCell ref="B7:H7"/>
    <mergeCell ref="B8:H8"/>
    <mergeCell ref="B9:H9"/>
    <mergeCell ref="A11:H11"/>
    <mergeCell ref="A13:B14"/>
    <mergeCell ref="D13:E14"/>
    <mergeCell ref="G13:H14"/>
    <mergeCell ref="A16:H16"/>
    <mergeCell ref="A18:H20"/>
    <mergeCell ref="A22:H22"/>
    <mergeCell ref="A24:H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46"/>
    <col collapsed="false" customWidth="true" hidden="false" outlineLevel="0" max="4" min="4" style="0" width="30"/>
  </cols>
  <sheetData>
    <row r="1" customFormat="false" ht="36" hidden="false" customHeight="true" outlineLevel="0" collapsed="false">
      <c r="A1" s="1" t="s">
        <v>15</v>
      </c>
      <c r="B1" s="1"/>
      <c r="C1" s="1"/>
      <c r="D1" s="1"/>
    </row>
    <row r="2" customFormat="false" ht="31" hidden="false" customHeight="true" outlineLevel="0" collapsed="false">
      <c r="A2" s="2" t="s">
        <v>16</v>
      </c>
      <c r="B2" s="2"/>
      <c r="C2" s="2"/>
      <c r="D2" s="2"/>
    </row>
    <row r="4" customFormat="false" ht="34" hidden="false" customHeight="true" outlineLevel="0" collapsed="false">
      <c r="A4" s="12" t="s">
        <v>17</v>
      </c>
      <c r="B4" s="12" t="s">
        <v>18</v>
      </c>
      <c r="C4" s="13" t="s">
        <v>19</v>
      </c>
      <c r="D4" s="13" t="s">
        <v>20</v>
      </c>
    </row>
    <row r="5" customFormat="false" ht="44" hidden="false" customHeight="true" outlineLevel="0" collapsed="false">
      <c r="A5" s="14" t="s">
        <v>21</v>
      </c>
      <c r="B5" s="15" t="n">
        <v>0.3</v>
      </c>
      <c r="C5" s="16" t="s">
        <v>22</v>
      </c>
      <c r="D5" s="17" t="str">
        <f aca="false">IFERROR(IF(NOT(ISNUMBER(B5)),"ENTER 0% TO UNDER 100%",IF(OR(B5&lt;0,B5&gt;=1),"ENTER 0% TO UNDER 100%","READY")),"FIX THIS TARGET")</f>
        <v>READY</v>
      </c>
    </row>
    <row r="6" customFormat="false" ht="44" hidden="false" customHeight="true" outlineLevel="0" collapsed="false">
      <c r="A6" s="18" t="s">
        <v>23</v>
      </c>
      <c r="B6" s="19" t="n">
        <v>20</v>
      </c>
      <c r="C6" s="16" t="s">
        <v>24</v>
      </c>
      <c r="D6" s="17" t="str">
        <f aca="false">IFERROR(IF(NOT(ISNUMBER(B6)),"ENTER 0 OR MORE",IF(B6&lt;0,"ENTER 0 OR MORE","READY")),"FIX THIS TARGET")</f>
        <v>READY</v>
      </c>
    </row>
    <row r="7" customFormat="false" ht="44" hidden="false" customHeight="true" outlineLevel="0" collapsed="false">
      <c r="A7" s="18" t="s">
        <v>25</v>
      </c>
      <c r="B7" s="20" t="n">
        <v>0.7</v>
      </c>
      <c r="C7" s="16" t="s">
        <v>26</v>
      </c>
      <c r="D7" s="17" t="str">
        <f aca="false">IFERROR(IF(NOT(ISNUMBER(B7)),"ENTER 0% TO 100%",IF(OR(B7&lt;0,B7&gt;1),"ENTER 0% TO 100%","READY")),"FIX THIS TARGET")</f>
        <v>READY</v>
      </c>
    </row>
  </sheetData>
  <mergeCells count="2">
    <mergeCell ref="A1:D1"/>
    <mergeCell ref="A2:D2"/>
  </mergeCells>
  <conditionalFormatting sqref="D5:D7">
    <cfRule type="expression" priority="2" aboveAverage="0" equalAverage="0" bottom="0" percent="0" rank="0" text="" dxfId="0">
      <formula>D5="READY"</formula>
    </cfRule>
  </conditionalFormatting>
  <dataValidations count="3">
    <dataValidation allowBlank="false" errorStyle="stop" operator="between" showDropDown="false" showErrorMessage="false" showInputMessage="false" sqref="B5" type="decimal">
      <formula1>0</formula1>
      <formula2>0.999</formula2>
    </dataValidation>
    <dataValidation allowBlank="false" errorStyle="stop" operator="greaterThanOrEqual" showDropDown="false" showErrorMessage="false" showInputMessage="false" sqref="B6" type="decimal">
      <formula1>0</formula1>
      <formula2>0</formula2>
    </dataValidation>
    <dataValidation allowBlank="false" errorStyle="stop" operator="between" showDropDown="false" showErrorMessage="false" showInputMessage="false" sqref="B7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3"/>
    <col collapsed="false" customWidth="true" hidden="false" outlineLevel="0" max="8" min="8" style="0" width="24"/>
    <col collapsed="false" customWidth="true" hidden="false" outlineLevel="0" max="9" min="9" style="0" width="29"/>
  </cols>
  <sheetData>
    <row r="1" customFormat="false" ht="36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  <c r="I1" s="1"/>
    </row>
    <row r="2" customFormat="false" ht="31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2" t="s">
        <v>76</v>
      </c>
    </row>
    <row r="4" customFormat="false" ht="34" hidden="false" customHeight="true" outlineLevel="0" collapsed="false">
      <c r="A4" s="12" t="s">
        <v>29</v>
      </c>
      <c r="B4" s="12" t="s">
        <v>30</v>
      </c>
      <c r="C4" s="12" t="s">
        <v>31</v>
      </c>
      <c r="D4" s="12" t="s">
        <v>32</v>
      </c>
      <c r="E4" s="12" t="s">
        <v>33</v>
      </c>
      <c r="F4" s="12" t="s">
        <v>34</v>
      </c>
      <c r="G4" s="12" t="s">
        <v>35</v>
      </c>
      <c r="H4" s="12" t="s">
        <v>36</v>
      </c>
      <c r="I4" s="21" t="s">
        <v>20</v>
      </c>
    </row>
    <row r="5" customFormat="false" ht="22" hidden="false" customHeight="true" outlineLevel="0" collapsed="false">
      <c r="A5" s="22" t="n">
        <v>46250</v>
      </c>
      <c r="B5" s="23" t="s">
        <v>37</v>
      </c>
      <c r="C5" s="24" t="n">
        <v>75</v>
      </c>
      <c r="D5" s="24" t="n">
        <v>24</v>
      </c>
      <c r="E5" s="25" t="n">
        <v>7</v>
      </c>
      <c r="F5" s="24" t="n">
        <v>680</v>
      </c>
      <c r="G5" s="26" t="n">
        <v>42</v>
      </c>
      <c r="H5" s="23" t="s">
        <v>38</v>
      </c>
      <c r="I5" s="17" t="str">
        <f aca="false">IF(COUNTA(A5:H5)=0,"",IFERROR(IF(A5="","ENTER MARKET DATE",IF(NOT(ISNUMBER(A5)),"ENTER A VALID DATE",IF(B5="","ENTER MARKET NAME",IF(NOT(ISTEXT(B5)),"ENTER MARKET NAME AS TEXT",IF(COUNTIFS($A$5:$A$54,A5,$B$5:$B$54,B5)&gt;1,"REMOVE DUPLICATE MARKET DAY",IF(OR(NOT(ISNUMBER(C5)),C5&lt;0),"ENTER BOOTH FEE AS 0 OR MORE",IF(OR(NOT(ISNUMBER(D5)),D5&lt;0),"ENTER TRAVEL COST AS 0 OR MORE",IF(OR(NOT(ISNUMBER(E5)),E5&lt;=0),"ENTER MARKET HOURS ABOVE 0",IF(OR(NOT(ISNUMBER(F5)),F5&lt;0),"ENTER SALES AS 0 OR MORE",IF(AND(G5&lt;&gt;"",OR(NOT(ISNUMBER(G5)),G5&lt;0,G5&lt;&gt;INT(G5))),"ENTER TRANSACTIONS AS A WHOLE NUMBER","READY")))))))))),"FIX INVALID MARKET ENTRY"))</f>
        <v>READY</v>
      </c>
    </row>
    <row r="6" customFormat="false" ht="22" hidden="false" customHeight="true" outlineLevel="0" collapsed="false">
      <c r="A6" s="27" t="n">
        <v>46257</v>
      </c>
      <c r="B6" s="28" t="s">
        <v>39</v>
      </c>
      <c r="C6" s="19" t="n">
        <v>45</v>
      </c>
      <c r="D6" s="19" t="n">
        <v>18</v>
      </c>
      <c r="E6" s="29" t="n">
        <v>5</v>
      </c>
      <c r="F6" s="19" t="n">
        <v>510</v>
      </c>
      <c r="G6" s="30" t="n">
        <v>31</v>
      </c>
      <c r="H6" s="28" t="s">
        <v>38</v>
      </c>
      <c r="I6" s="17" t="str">
        <f aca="false">IF(COUNTA(A6:H6)=0,"",IFERROR(IF(A6="","ENTER MARKET DATE",IF(NOT(ISNUMBER(A6)),"ENTER A VALID DATE",IF(B6="","ENTER MARKET NAME",IF(NOT(ISTEXT(B6)),"ENTER MARKET NAME AS TEXT",IF(COUNTIFS($A$5:$A$54,A6,$B$5:$B$54,B6)&gt;1,"REMOVE DUPLICATE MARKET DAY",IF(OR(NOT(ISNUMBER(C6)),C6&lt;0),"ENTER BOOTH FEE AS 0 OR MORE",IF(OR(NOT(ISNUMBER(D6)),D6&lt;0),"ENTER TRAVEL COST AS 0 OR MORE",IF(OR(NOT(ISNUMBER(E6)),E6&lt;=0),"ENTER MARKET HOURS ABOVE 0",IF(OR(NOT(ISNUMBER(F6)),F6&lt;0),"ENTER SALES AS 0 OR MORE",IF(AND(G6&lt;&gt;"",OR(NOT(ISNUMBER(G6)),G6&lt;0,G6&lt;&gt;INT(G6))),"ENTER TRANSACTIONS AS A WHOLE NUMBER","READY")))))))))),"FIX INVALID MARKET ENTRY"))</f>
        <v>READY</v>
      </c>
    </row>
    <row r="7" customFormat="false" ht="22" hidden="false" customHeight="true" outlineLevel="0" collapsed="false">
      <c r="A7" s="27" t="n">
        <v>46264</v>
      </c>
      <c r="B7" s="28" t="s">
        <v>40</v>
      </c>
      <c r="C7" s="19" t="n">
        <v>110</v>
      </c>
      <c r="D7" s="19" t="n">
        <v>30</v>
      </c>
      <c r="E7" s="29" t="n">
        <v>8</v>
      </c>
      <c r="F7" s="19" t="n">
        <v>740</v>
      </c>
      <c r="G7" s="30" t="n">
        <v>46</v>
      </c>
      <c r="H7" s="28" t="s">
        <v>38</v>
      </c>
      <c r="I7" s="17" t="str">
        <f aca="false">IF(COUNTA(A7:H7)=0,"",IFERROR(IF(A7="","ENTER MARKET DATE",IF(NOT(ISNUMBER(A7)),"ENTER A VALID DATE",IF(B7="","ENTER MARKET NAME",IF(NOT(ISTEXT(B7)),"ENTER MARKET NAME AS TEXT",IF(COUNTIFS($A$5:$A$54,A7,$B$5:$B$54,B7)&gt;1,"REMOVE DUPLICATE MARKET DAY",IF(OR(NOT(ISNUMBER(C7)),C7&lt;0),"ENTER BOOTH FEE AS 0 OR MORE",IF(OR(NOT(ISNUMBER(D7)),D7&lt;0),"ENTER TRAVEL COST AS 0 OR MORE",IF(OR(NOT(ISNUMBER(E7)),E7&lt;=0),"ENTER MARKET HOURS ABOVE 0",IF(OR(NOT(ISNUMBER(F7)),F7&lt;0),"ENTER SALES AS 0 OR MORE",IF(AND(G7&lt;&gt;"",OR(NOT(ISNUMBER(G7)),G7&lt;0,G7&lt;&gt;INT(G7))),"ENTER TRANSACTIONS AS A WHOLE NUMBER","READY")))))))))),"FIX INVALID MARKET ENTRY"))</f>
        <v>READY</v>
      </c>
    </row>
    <row r="8" customFormat="false" ht="22" hidden="false" customHeight="true" outlineLevel="0" collapsed="false">
      <c r="A8" s="27"/>
      <c r="B8" s="28"/>
      <c r="C8" s="19"/>
      <c r="D8" s="19"/>
      <c r="E8" s="29"/>
      <c r="F8" s="19"/>
      <c r="G8" s="30"/>
      <c r="H8" s="28"/>
      <c r="I8" s="17" t="str">
        <f aca="false">IF(COUNTA(A8:H8)=0,"",IFERROR(IF(A8="","ENTER MARKET DATE",IF(NOT(ISNUMBER(A8)),"ENTER A VALID DATE",IF(B8="","ENTER MARKET NAME",IF(NOT(ISTEXT(B8)),"ENTER MARKET NAME AS TEXT",IF(COUNTIFS($A$5:$A$54,A8,$B$5:$B$54,B8)&gt;1,"REMOVE DUPLICATE MARKET DAY",IF(OR(NOT(ISNUMBER(C8)),C8&lt;0),"ENTER BOOTH FEE AS 0 OR MORE",IF(OR(NOT(ISNUMBER(D8)),D8&lt;0),"ENTER TRAVEL COST AS 0 OR MORE",IF(OR(NOT(ISNUMBER(E8)),E8&lt;=0),"ENTER MARKET HOURS ABOVE 0",IF(OR(NOT(ISNUMBER(F8)),F8&lt;0),"ENTER SALES AS 0 OR MORE",IF(AND(G8&lt;&gt;"",OR(NOT(ISNUMBER(G8)),G8&lt;0,G8&lt;&gt;INT(G8))),"ENTER TRANSACTIONS AS A WHOLE NUMBER","READY")))))))))),"FIX INVALID MARKET ENTRY"))</f>
        <v/>
      </c>
    </row>
    <row r="9" customFormat="false" ht="22" hidden="false" customHeight="true" outlineLevel="0" collapsed="false">
      <c r="A9" s="27"/>
      <c r="B9" s="28"/>
      <c r="C9" s="19"/>
      <c r="D9" s="19"/>
      <c r="E9" s="29"/>
      <c r="F9" s="19"/>
      <c r="G9" s="30"/>
      <c r="H9" s="28"/>
      <c r="I9" s="17" t="str">
        <f aca="false">IF(COUNTA(A9:H9)=0,"",IFERROR(IF(A9="","ENTER MARKET DATE",IF(NOT(ISNUMBER(A9)),"ENTER A VALID DATE",IF(B9="","ENTER MARKET NAME",IF(NOT(ISTEXT(B9)),"ENTER MARKET NAME AS TEXT",IF(COUNTIFS($A$5:$A$54,A9,$B$5:$B$54,B9)&gt;1,"REMOVE DUPLICATE MARKET DAY",IF(OR(NOT(ISNUMBER(C9)),C9&lt;0),"ENTER BOOTH FEE AS 0 OR MORE",IF(OR(NOT(ISNUMBER(D9)),D9&lt;0),"ENTER TRAVEL COST AS 0 OR MORE",IF(OR(NOT(ISNUMBER(E9)),E9&lt;=0),"ENTER MARKET HOURS ABOVE 0",IF(OR(NOT(ISNUMBER(F9)),F9&lt;0),"ENTER SALES AS 0 OR MORE",IF(AND(G9&lt;&gt;"",OR(NOT(ISNUMBER(G9)),G9&lt;0,G9&lt;&gt;INT(G9))),"ENTER TRANSACTIONS AS A WHOLE NUMBER","READY")))))))))),"FIX INVALID MARKET ENTRY"))</f>
        <v/>
      </c>
    </row>
    <row r="10" customFormat="false" ht="22" hidden="false" customHeight="true" outlineLevel="0" collapsed="false">
      <c r="A10" s="27"/>
      <c r="B10" s="28"/>
      <c r="C10" s="19"/>
      <c r="D10" s="19"/>
      <c r="E10" s="29"/>
      <c r="F10" s="19"/>
      <c r="G10" s="30"/>
      <c r="H10" s="28"/>
      <c r="I10" s="17" t="str">
        <f aca="false">IF(COUNTA(A10:H10)=0,"",IFERROR(IF(A10="","ENTER MARKET DATE",IF(NOT(ISNUMBER(A10)),"ENTER A VALID DATE",IF(B10="","ENTER MARKET NAME",IF(NOT(ISTEXT(B10)),"ENTER MARKET NAME AS TEXT",IF(COUNTIFS($A$5:$A$54,A10,$B$5:$B$54,B10)&gt;1,"REMOVE DUPLICATE MARKET DAY",IF(OR(NOT(ISNUMBER(C10)),C10&lt;0),"ENTER BOOTH FEE AS 0 OR MORE",IF(OR(NOT(ISNUMBER(D10)),D10&lt;0),"ENTER TRAVEL COST AS 0 OR MORE",IF(OR(NOT(ISNUMBER(E10)),E10&lt;=0),"ENTER MARKET HOURS ABOVE 0",IF(OR(NOT(ISNUMBER(F10)),F10&lt;0),"ENTER SALES AS 0 OR MORE",IF(AND(G10&lt;&gt;"",OR(NOT(ISNUMBER(G10)),G10&lt;0,G10&lt;&gt;INT(G10))),"ENTER TRANSACTIONS AS A WHOLE NUMBER","READY")))))))))),"FIX INVALID MARKET ENTRY"))</f>
        <v/>
      </c>
    </row>
    <row r="11" customFormat="false" ht="22" hidden="false" customHeight="true" outlineLevel="0" collapsed="false">
      <c r="A11" s="27"/>
      <c r="B11" s="28"/>
      <c r="C11" s="19"/>
      <c r="D11" s="19"/>
      <c r="E11" s="29"/>
      <c r="F11" s="19"/>
      <c r="G11" s="30"/>
      <c r="H11" s="28"/>
      <c r="I11" s="17" t="str">
        <f aca="false">IF(COUNTA(A11:H11)=0,"",IFERROR(IF(A11="","ENTER MARKET DATE",IF(NOT(ISNUMBER(A11)),"ENTER A VALID DATE",IF(B11="","ENTER MARKET NAME",IF(NOT(ISTEXT(B11)),"ENTER MARKET NAME AS TEXT",IF(COUNTIFS($A$5:$A$54,A11,$B$5:$B$54,B11)&gt;1,"REMOVE DUPLICATE MARKET DAY",IF(OR(NOT(ISNUMBER(C11)),C11&lt;0),"ENTER BOOTH FEE AS 0 OR MORE",IF(OR(NOT(ISNUMBER(D11)),D11&lt;0),"ENTER TRAVEL COST AS 0 OR MORE",IF(OR(NOT(ISNUMBER(E11)),E11&lt;=0),"ENTER MARKET HOURS ABOVE 0",IF(OR(NOT(ISNUMBER(F11)),F11&lt;0),"ENTER SALES AS 0 OR MORE",IF(AND(G11&lt;&gt;"",OR(NOT(ISNUMBER(G11)),G11&lt;0,G11&lt;&gt;INT(G11))),"ENTER TRANSACTIONS AS A WHOLE NUMBER","READY")))))))))),"FIX INVALID MARKET ENTRY"))</f>
        <v/>
      </c>
    </row>
    <row r="12" customFormat="false" ht="22" hidden="false" customHeight="true" outlineLevel="0" collapsed="false">
      <c r="A12" s="27"/>
      <c r="B12" s="28"/>
      <c r="C12" s="19"/>
      <c r="D12" s="19"/>
      <c r="E12" s="29"/>
      <c r="F12" s="19"/>
      <c r="G12" s="30"/>
      <c r="H12" s="28"/>
      <c r="I12" s="17" t="str">
        <f aca="false">IF(COUNTA(A12:H12)=0,"",IFERROR(IF(A12="","ENTER MARKET DATE",IF(NOT(ISNUMBER(A12)),"ENTER A VALID DATE",IF(B12="","ENTER MARKET NAME",IF(NOT(ISTEXT(B12)),"ENTER MARKET NAME AS TEXT",IF(COUNTIFS($A$5:$A$54,A12,$B$5:$B$54,B12)&gt;1,"REMOVE DUPLICATE MARKET DAY",IF(OR(NOT(ISNUMBER(C12)),C12&lt;0),"ENTER BOOTH FEE AS 0 OR MORE",IF(OR(NOT(ISNUMBER(D12)),D12&lt;0),"ENTER TRAVEL COST AS 0 OR MORE",IF(OR(NOT(ISNUMBER(E12)),E12&lt;=0),"ENTER MARKET HOURS ABOVE 0",IF(OR(NOT(ISNUMBER(F12)),F12&lt;0),"ENTER SALES AS 0 OR MORE",IF(AND(G12&lt;&gt;"",OR(NOT(ISNUMBER(G12)),G12&lt;0,G12&lt;&gt;INT(G12))),"ENTER TRANSACTIONS AS A WHOLE NUMBER","READY")))))))))),"FIX INVALID MARKET ENTRY"))</f>
        <v/>
      </c>
    </row>
    <row r="13" customFormat="false" ht="22" hidden="false" customHeight="true" outlineLevel="0" collapsed="false">
      <c r="A13" s="27"/>
      <c r="B13" s="28"/>
      <c r="C13" s="19"/>
      <c r="D13" s="19"/>
      <c r="E13" s="29"/>
      <c r="F13" s="19"/>
      <c r="G13" s="30"/>
      <c r="H13" s="28"/>
      <c r="I13" s="17" t="str">
        <f aca="false">IF(COUNTA(A13:H13)=0,"",IFERROR(IF(A13="","ENTER MARKET DATE",IF(NOT(ISNUMBER(A13)),"ENTER A VALID DATE",IF(B13="","ENTER MARKET NAME",IF(NOT(ISTEXT(B13)),"ENTER MARKET NAME AS TEXT",IF(COUNTIFS($A$5:$A$54,A13,$B$5:$B$54,B13)&gt;1,"REMOVE DUPLICATE MARKET DAY",IF(OR(NOT(ISNUMBER(C13)),C13&lt;0),"ENTER BOOTH FEE AS 0 OR MORE",IF(OR(NOT(ISNUMBER(D13)),D13&lt;0),"ENTER TRAVEL COST AS 0 OR MORE",IF(OR(NOT(ISNUMBER(E13)),E13&lt;=0),"ENTER MARKET HOURS ABOVE 0",IF(OR(NOT(ISNUMBER(F13)),F13&lt;0),"ENTER SALES AS 0 OR MORE",IF(AND(G13&lt;&gt;"",OR(NOT(ISNUMBER(G13)),G13&lt;0,G13&lt;&gt;INT(G13))),"ENTER TRANSACTIONS AS A WHOLE NUMBER","READY")))))))))),"FIX INVALID MARKET ENTRY"))</f>
        <v/>
      </c>
    </row>
    <row r="14" customFormat="false" ht="22" hidden="false" customHeight="true" outlineLevel="0" collapsed="false">
      <c r="A14" s="27"/>
      <c r="B14" s="28"/>
      <c r="C14" s="19"/>
      <c r="D14" s="19"/>
      <c r="E14" s="29"/>
      <c r="F14" s="19"/>
      <c r="G14" s="30"/>
      <c r="H14" s="28"/>
      <c r="I14" s="17" t="str">
        <f aca="false">IF(COUNTA(A14:H14)=0,"",IFERROR(IF(A14="","ENTER MARKET DATE",IF(NOT(ISNUMBER(A14)),"ENTER A VALID DATE",IF(B14="","ENTER MARKET NAME",IF(NOT(ISTEXT(B14)),"ENTER MARKET NAME AS TEXT",IF(COUNTIFS($A$5:$A$54,A14,$B$5:$B$54,B14)&gt;1,"REMOVE DUPLICATE MARKET DAY",IF(OR(NOT(ISNUMBER(C14)),C14&lt;0),"ENTER BOOTH FEE AS 0 OR MORE",IF(OR(NOT(ISNUMBER(D14)),D14&lt;0),"ENTER TRAVEL COST AS 0 OR MORE",IF(OR(NOT(ISNUMBER(E14)),E14&lt;=0),"ENTER MARKET HOURS ABOVE 0",IF(OR(NOT(ISNUMBER(F14)),F14&lt;0),"ENTER SALES AS 0 OR MORE",IF(AND(G14&lt;&gt;"",OR(NOT(ISNUMBER(G14)),G14&lt;0,G14&lt;&gt;INT(G14))),"ENTER TRANSACTIONS AS A WHOLE NUMBER","READY")))))))))),"FIX INVALID MARKET ENTRY"))</f>
        <v/>
      </c>
    </row>
    <row r="15" customFormat="false" ht="22" hidden="false" customHeight="true" outlineLevel="0" collapsed="false">
      <c r="A15" s="27"/>
      <c r="B15" s="28"/>
      <c r="C15" s="19"/>
      <c r="D15" s="19"/>
      <c r="E15" s="29"/>
      <c r="F15" s="19"/>
      <c r="G15" s="30"/>
      <c r="H15" s="28"/>
      <c r="I15" s="17" t="str">
        <f aca="false">IF(COUNTA(A15:H15)=0,"",IFERROR(IF(A15="","ENTER MARKET DATE",IF(NOT(ISNUMBER(A15)),"ENTER A VALID DATE",IF(B15="","ENTER MARKET NAME",IF(NOT(ISTEXT(B15)),"ENTER MARKET NAME AS TEXT",IF(COUNTIFS($A$5:$A$54,A15,$B$5:$B$54,B15)&gt;1,"REMOVE DUPLICATE MARKET DAY",IF(OR(NOT(ISNUMBER(C15)),C15&lt;0),"ENTER BOOTH FEE AS 0 OR MORE",IF(OR(NOT(ISNUMBER(D15)),D15&lt;0),"ENTER TRAVEL COST AS 0 OR MORE",IF(OR(NOT(ISNUMBER(E15)),E15&lt;=0),"ENTER MARKET HOURS ABOVE 0",IF(OR(NOT(ISNUMBER(F15)),F15&lt;0),"ENTER SALES AS 0 OR MORE",IF(AND(G15&lt;&gt;"",OR(NOT(ISNUMBER(G15)),G15&lt;0,G15&lt;&gt;INT(G15))),"ENTER TRANSACTIONS AS A WHOLE NUMBER","READY")))))))))),"FIX INVALID MARKET ENTRY"))</f>
        <v/>
      </c>
    </row>
    <row r="16" customFormat="false" ht="22" hidden="false" customHeight="true" outlineLevel="0" collapsed="false">
      <c r="A16" s="27"/>
      <c r="B16" s="28"/>
      <c r="C16" s="19"/>
      <c r="D16" s="19"/>
      <c r="E16" s="29"/>
      <c r="F16" s="19"/>
      <c r="G16" s="30"/>
      <c r="H16" s="28"/>
      <c r="I16" s="17" t="str">
        <f aca="false">IF(COUNTA(A16:H16)=0,"",IFERROR(IF(A16="","ENTER MARKET DATE",IF(NOT(ISNUMBER(A16)),"ENTER A VALID DATE",IF(B16="","ENTER MARKET NAME",IF(NOT(ISTEXT(B16)),"ENTER MARKET NAME AS TEXT",IF(COUNTIFS($A$5:$A$54,A16,$B$5:$B$54,B16)&gt;1,"REMOVE DUPLICATE MARKET DAY",IF(OR(NOT(ISNUMBER(C16)),C16&lt;0),"ENTER BOOTH FEE AS 0 OR MORE",IF(OR(NOT(ISNUMBER(D16)),D16&lt;0),"ENTER TRAVEL COST AS 0 OR MORE",IF(OR(NOT(ISNUMBER(E16)),E16&lt;=0),"ENTER MARKET HOURS ABOVE 0",IF(OR(NOT(ISNUMBER(F16)),F16&lt;0),"ENTER SALES AS 0 OR MORE",IF(AND(G16&lt;&gt;"",OR(NOT(ISNUMBER(G16)),G16&lt;0,G16&lt;&gt;INT(G16))),"ENTER TRANSACTIONS AS A WHOLE NUMBER","READY")))))))))),"FIX INVALID MARKET ENTRY"))</f>
        <v/>
      </c>
    </row>
    <row r="17" customFormat="false" ht="22" hidden="false" customHeight="true" outlineLevel="0" collapsed="false">
      <c r="A17" s="27"/>
      <c r="B17" s="28"/>
      <c r="C17" s="19"/>
      <c r="D17" s="19"/>
      <c r="E17" s="29"/>
      <c r="F17" s="19"/>
      <c r="G17" s="30"/>
      <c r="H17" s="28"/>
      <c r="I17" s="17" t="str">
        <f aca="false">IF(COUNTA(A17:H17)=0,"",IFERROR(IF(A17="","ENTER MARKET DATE",IF(NOT(ISNUMBER(A17)),"ENTER A VALID DATE",IF(B17="","ENTER MARKET NAME",IF(NOT(ISTEXT(B17)),"ENTER MARKET NAME AS TEXT",IF(COUNTIFS($A$5:$A$54,A17,$B$5:$B$54,B17)&gt;1,"REMOVE DUPLICATE MARKET DAY",IF(OR(NOT(ISNUMBER(C17)),C17&lt;0),"ENTER BOOTH FEE AS 0 OR MORE",IF(OR(NOT(ISNUMBER(D17)),D17&lt;0),"ENTER TRAVEL COST AS 0 OR MORE",IF(OR(NOT(ISNUMBER(E17)),E17&lt;=0),"ENTER MARKET HOURS ABOVE 0",IF(OR(NOT(ISNUMBER(F17)),F17&lt;0),"ENTER SALES AS 0 OR MORE",IF(AND(G17&lt;&gt;"",OR(NOT(ISNUMBER(G17)),G17&lt;0,G17&lt;&gt;INT(G17))),"ENTER TRANSACTIONS AS A WHOLE NUMBER","READY")))))))))),"FIX INVALID MARKET ENTRY"))</f>
        <v/>
      </c>
    </row>
    <row r="18" customFormat="false" ht="22" hidden="false" customHeight="true" outlineLevel="0" collapsed="false">
      <c r="A18" s="27"/>
      <c r="B18" s="28"/>
      <c r="C18" s="19"/>
      <c r="D18" s="19"/>
      <c r="E18" s="29"/>
      <c r="F18" s="19"/>
      <c r="G18" s="30"/>
      <c r="H18" s="28"/>
      <c r="I18" s="17" t="str">
        <f aca="false">IF(COUNTA(A18:H18)=0,"",IFERROR(IF(A18="","ENTER MARKET DATE",IF(NOT(ISNUMBER(A18)),"ENTER A VALID DATE",IF(B18="","ENTER MARKET NAME",IF(NOT(ISTEXT(B18)),"ENTER MARKET NAME AS TEXT",IF(COUNTIFS($A$5:$A$54,A18,$B$5:$B$54,B18)&gt;1,"REMOVE DUPLICATE MARKET DAY",IF(OR(NOT(ISNUMBER(C18)),C18&lt;0),"ENTER BOOTH FEE AS 0 OR MORE",IF(OR(NOT(ISNUMBER(D18)),D18&lt;0),"ENTER TRAVEL COST AS 0 OR MORE",IF(OR(NOT(ISNUMBER(E18)),E18&lt;=0),"ENTER MARKET HOURS ABOVE 0",IF(OR(NOT(ISNUMBER(F18)),F18&lt;0),"ENTER SALES AS 0 OR MORE",IF(AND(G18&lt;&gt;"",OR(NOT(ISNUMBER(G18)),G18&lt;0,G18&lt;&gt;INT(G18))),"ENTER TRANSACTIONS AS A WHOLE NUMBER","READY")))))))))),"FIX INVALID MARKET ENTRY"))</f>
        <v/>
      </c>
    </row>
    <row r="19" customFormat="false" ht="22" hidden="false" customHeight="true" outlineLevel="0" collapsed="false">
      <c r="A19" s="27"/>
      <c r="B19" s="28"/>
      <c r="C19" s="19"/>
      <c r="D19" s="19"/>
      <c r="E19" s="29"/>
      <c r="F19" s="19"/>
      <c r="G19" s="30"/>
      <c r="H19" s="28"/>
      <c r="I19" s="17" t="str">
        <f aca="false">IF(COUNTA(A19:H19)=0,"",IFERROR(IF(A19="","ENTER MARKET DATE",IF(NOT(ISNUMBER(A19)),"ENTER A VALID DATE",IF(B19="","ENTER MARKET NAME",IF(NOT(ISTEXT(B19)),"ENTER MARKET NAME AS TEXT",IF(COUNTIFS($A$5:$A$54,A19,$B$5:$B$54,B19)&gt;1,"REMOVE DUPLICATE MARKET DAY",IF(OR(NOT(ISNUMBER(C19)),C19&lt;0),"ENTER BOOTH FEE AS 0 OR MORE",IF(OR(NOT(ISNUMBER(D19)),D19&lt;0),"ENTER TRAVEL COST AS 0 OR MORE",IF(OR(NOT(ISNUMBER(E19)),E19&lt;=0),"ENTER MARKET HOURS ABOVE 0",IF(OR(NOT(ISNUMBER(F19)),F19&lt;0),"ENTER SALES AS 0 OR MORE",IF(AND(G19&lt;&gt;"",OR(NOT(ISNUMBER(G19)),G19&lt;0,G19&lt;&gt;INT(G19))),"ENTER TRANSACTIONS AS A WHOLE NUMBER","READY")))))))))),"FIX INVALID MARKET ENTRY"))</f>
        <v/>
      </c>
    </row>
    <row r="20" customFormat="false" ht="22" hidden="false" customHeight="true" outlineLevel="0" collapsed="false">
      <c r="A20" s="27"/>
      <c r="B20" s="28"/>
      <c r="C20" s="19"/>
      <c r="D20" s="19"/>
      <c r="E20" s="29"/>
      <c r="F20" s="19"/>
      <c r="G20" s="30"/>
      <c r="H20" s="28"/>
      <c r="I20" s="17" t="str">
        <f aca="false">IF(COUNTA(A20:H20)=0,"",IFERROR(IF(A20="","ENTER MARKET DATE",IF(NOT(ISNUMBER(A20)),"ENTER A VALID DATE",IF(B20="","ENTER MARKET NAME",IF(NOT(ISTEXT(B20)),"ENTER MARKET NAME AS TEXT",IF(COUNTIFS($A$5:$A$54,A20,$B$5:$B$54,B20)&gt;1,"REMOVE DUPLICATE MARKET DAY",IF(OR(NOT(ISNUMBER(C20)),C20&lt;0),"ENTER BOOTH FEE AS 0 OR MORE",IF(OR(NOT(ISNUMBER(D20)),D20&lt;0),"ENTER TRAVEL COST AS 0 OR MORE",IF(OR(NOT(ISNUMBER(E20)),E20&lt;=0),"ENTER MARKET HOURS ABOVE 0",IF(OR(NOT(ISNUMBER(F20)),F20&lt;0),"ENTER SALES AS 0 OR MORE",IF(AND(G20&lt;&gt;"",OR(NOT(ISNUMBER(G20)),G20&lt;0,G20&lt;&gt;INT(G20))),"ENTER TRANSACTIONS AS A WHOLE NUMBER","READY")))))))))),"FIX INVALID MARKET ENTRY"))</f>
        <v/>
      </c>
    </row>
    <row r="21" customFormat="false" ht="22" hidden="false" customHeight="true" outlineLevel="0" collapsed="false">
      <c r="A21" s="27"/>
      <c r="B21" s="28"/>
      <c r="C21" s="19"/>
      <c r="D21" s="19"/>
      <c r="E21" s="29"/>
      <c r="F21" s="19"/>
      <c r="G21" s="30"/>
      <c r="H21" s="28"/>
      <c r="I21" s="17" t="str">
        <f aca="false">IF(COUNTA(A21:H21)=0,"",IFERROR(IF(A21="","ENTER MARKET DATE",IF(NOT(ISNUMBER(A21)),"ENTER A VALID DATE",IF(B21="","ENTER MARKET NAME",IF(NOT(ISTEXT(B21)),"ENTER MARKET NAME AS TEXT",IF(COUNTIFS($A$5:$A$54,A21,$B$5:$B$54,B21)&gt;1,"REMOVE DUPLICATE MARKET DAY",IF(OR(NOT(ISNUMBER(C21)),C21&lt;0),"ENTER BOOTH FEE AS 0 OR MORE",IF(OR(NOT(ISNUMBER(D21)),D21&lt;0),"ENTER TRAVEL COST AS 0 OR MORE",IF(OR(NOT(ISNUMBER(E21)),E21&lt;=0),"ENTER MARKET HOURS ABOVE 0",IF(OR(NOT(ISNUMBER(F21)),F21&lt;0),"ENTER SALES AS 0 OR MORE",IF(AND(G21&lt;&gt;"",OR(NOT(ISNUMBER(G21)),G21&lt;0,G21&lt;&gt;INT(G21))),"ENTER TRANSACTIONS AS A WHOLE NUMBER","READY")))))))))),"FIX INVALID MARKET ENTRY"))</f>
        <v/>
      </c>
    </row>
    <row r="22" customFormat="false" ht="22" hidden="false" customHeight="true" outlineLevel="0" collapsed="false">
      <c r="A22" s="27"/>
      <c r="B22" s="28"/>
      <c r="C22" s="19"/>
      <c r="D22" s="19"/>
      <c r="E22" s="29"/>
      <c r="F22" s="19"/>
      <c r="G22" s="30"/>
      <c r="H22" s="28"/>
      <c r="I22" s="17" t="str">
        <f aca="false">IF(COUNTA(A22:H22)=0,"",IFERROR(IF(A22="","ENTER MARKET DATE",IF(NOT(ISNUMBER(A22)),"ENTER A VALID DATE",IF(B22="","ENTER MARKET NAME",IF(NOT(ISTEXT(B22)),"ENTER MARKET NAME AS TEXT",IF(COUNTIFS($A$5:$A$54,A22,$B$5:$B$54,B22)&gt;1,"REMOVE DUPLICATE MARKET DAY",IF(OR(NOT(ISNUMBER(C22)),C22&lt;0),"ENTER BOOTH FEE AS 0 OR MORE",IF(OR(NOT(ISNUMBER(D22)),D22&lt;0),"ENTER TRAVEL COST AS 0 OR MORE",IF(OR(NOT(ISNUMBER(E22)),E22&lt;=0),"ENTER MARKET HOURS ABOVE 0",IF(OR(NOT(ISNUMBER(F22)),F22&lt;0),"ENTER SALES AS 0 OR MORE",IF(AND(G22&lt;&gt;"",OR(NOT(ISNUMBER(G22)),G22&lt;0,G22&lt;&gt;INT(G22))),"ENTER TRANSACTIONS AS A WHOLE NUMBER","READY")))))))))),"FIX INVALID MARKET ENTRY"))</f>
        <v/>
      </c>
    </row>
    <row r="23" customFormat="false" ht="22" hidden="false" customHeight="true" outlineLevel="0" collapsed="false">
      <c r="A23" s="27"/>
      <c r="B23" s="28"/>
      <c r="C23" s="19"/>
      <c r="D23" s="19"/>
      <c r="E23" s="29"/>
      <c r="F23" s="19"/>
      <c r="G23" s="30"/>
      <c r="H23" s="28"/>
      <c r="I23" s="17" t="str">
        <f aca="false">IF(COUNTA(A23:H23)=0,"",IFERROR(IF(A23="","ENTER MARKET DATE",IF(NOT(ISNUMBER(A23)),"ENTER A VALID DATE",IF(B23="","ENTER MARKET NAME",IF(NOT(ISTEXT(B23)),"ENTER MARKET NAME AS TEXT",IF(COUNTIFS($A$5:$A$54,A23,$B$5:$B$54,B23)&gt;1,"REMOVE DUPLICATE MARKET DAY",IF(OR(NOT(ISNUMBER(C23)),C23&lt;0),"ENTER BOOTH FEE AS 0 OR MORE",IF(OR(NOT(ISNUMBER(D23)),D23&lt;0),"ENTER TRAVEL COST AS 0 OR MORE",IF(OR(NOT(ISNUMBER(E23)),E23&lt;=0),"ENTER MARKET HOURS ABOVE 0",IF(OR(NOT(ISNUMBER(F23)),F23&lt;0),"ENTER SALES AS 0 OR MORE",IF(AND(G23&lt;&gt;"",OR(NOT(ISNUMBER(G23)),G23&lt;0,G23&lt;&gt;INT(G23))),"ENTER TRANSACTIONS AS A WHOLE NUMBER","READY")))))))))),"FIX INVALID MARKET ENTRY"))</f>
        <v/>
      </c>
    </row>
    <row r="24" customFormat="false" ht="22" hidden="false" customHeight="true" outlineLevel="0" collapsed="false">
      <c r="A24" s="27"/>
      <c r="B24" s="28"/>
      <c r="C24" s="19"/>
      <c r="D24" s="19"/>
      <c r="E24" s="29"/>
      <c r="F24" s="19"/>
      <c r="G24" s="30"/>
      <c r="H24" s="28"/>
      <c r="I24" s="17" t="str">
        <f aca="false">IF(COUNTA(A24:H24)=0,"",IFERROR(IF(A24="","ENTER MARKET DATE",IF(NOT(ISNUMBER(A24)),"ENTER A VALID DATE",IF(B24="","ENTER MARKET NAME",IF(NOT(ISTEXT(B24)),"ENTER MARKET NAME AS TEXT",IF(COUNTIFS($A$5:$A$54,A24,$B$5:$B$54,B24)&gt;1,"REMOVE DUPLICATE MARKET DAY",IF(OR(NOT(ISNUMBER(C24)),C24&lt;0),"ENTER BOOTH FEE AS 0 OR MORE",IF(OR(NOT(ISNUMBER(D24)),D24&lt;0),"ENTER TRAVEL COST AS 0 OR MORE",IF(OR(NOT(ISNUMBER(E24)),E24&lt;=0),"ENTER MARKET HOURS ABOVE 0",IF(OR(NOT(ISNUMBER(F24)),F24&lt;0),"ENTER SALES AS 0 OR MORE",IF(AND(G24&lt;&gt;"",OR(NOT(ISNUMBER(G24)),G24&lt;0,G24&lt;&gt;INT(G24))),"ENTER TRANSACTIONS AS A WHOLE NUMBER","READY")))))))))),"FIX INVALID MARKET ENTRY"))</f>
        <v/>
      </c>
    </row>
    <row r="25" customFormat="false" ht="22" hidden="false" customHeight="true" outlineLevel="0" collapsed="false">
      <c r="A25" s="27"/>
      <c r="B25" s="28"/>
      <c r="C25" s="19"/>
      <c r="D25" s="19"/>
      <c r="E25" s="29"/>
      <c r="F25" s="19"/>
      <c r="G25" s="30"/>
      <c r="H25" s="28"/>
      <c r="I25" s="17" t="str">
        <f aca="false">IF(COUNTA(A25:H25)=0,"",IFERROR(IF(A25="","ENTER MARKET DATE",IF(NOT(ISNUMBER(A25)),"ENTER A VALID DATE",IF(B25="","ENTER MARKET NAME",IF(NOT(ISTEXT(B25)),"ENTER MARKET NAME AS TEXT",IF(COUNTIFS($A$5:$A$54,A25,$B$5:$B$54,B25)&gt;1,"REMOVE DUPLICATE MARKET DAY",IF(OR(NOT(ISNUMBER(C25)),C25&lt;0),"ENTER BOOTH FEE AS 0 OR MORE",IF(OR(NOT(ISNUMBER(D25)),D25&lt;0),"ENTER TRAVEL COST AS 0 OR MORE",IF(OR(NOT(ISNUMBER(E25)),E25&lt;=0),"ENTER MARKET HOURS ABOVE 0",IF(OR(NOT(ISNUMBER(F25)),F25&lt;0),"ENTER SALES AS 0 OR MORE",IF(AND(G25&lt;&gt;"",OR(NOT(ISNUMBER(G25)),G25&lt;0,G25&lt;&gt;INT(G25))),"ENTER TRANSACTIONS AS A WHOLE NUMBER","READY")))))))))),"FIX INVALID MARKET ENTRY"))</f>
        <v/>
      </c>
    </row>
    <row r="26" customFormat="false" ht="22" hidden="false" customHeight="true" outlineLevel="0" collapsed="false">
      <c r="A26" s="27"/>
      <c r="B26" s="28"/>
      <c r="C26" s="19"/>
      <c r="D26" s="19"/>
      <c r="E26" s="29"/>
      <c r="F26" s="19"/>
      <c r="G26" s="30"/>
      <c r="H26" s="28"/>
      <c r="I26" s="17" t="str">
        <f aca="false">IF(COUNTA(A26:H26)=0,"",IFERROR(IF(A26="","ENTER MARKET DATE",IF(NOT(ISNUMBER(A26)),"ENTER A VALID DATE",IF(B26="","ENTER MARKET NAME",IF(NOT(ISTEXT(B26)),"ENTER MARKET NAME AS TEXT",IF(COUNTIFS($A$5:$A$54,A26,$B$5:$B$54,B26)&gt;1,"REMOVE DUPLICATE MARKET DAY",IF(OR(NOT(ISNUMBER(C26)),C26&lt;0),"ENTER BOOTH FEE AS 0 OR MORE",IF(OR(NOT(ISNUMBER(D26)),D26&lt;0),"ENTER TRAVEL COST AS 0 OR MORE",IF(OR(NOT(ISNUMBER(E26)),E26&lt;=0),"ENTER MARKET HOURS ABOVE 0",IF(OR(NOT(ISNUMBER(F26)),F26&lt;0),"ENTER SALES AS 0 OR MORE",IF(AND(G26&lt;&gt;"",OR(NOT(ISNUMBER(G26)),G26&lt;0,G26&lt;&gt;INT(G26))),"ENTER TRANSACTIONS AS A WHOLE NUMBER","READY")))))))))),"FIX INVALID MARKET ENTRY"))</f>
        <v/>
      </c>
    </row>
    <row r="27" customFormat="false" ht="22" hidden="false" customHeight="true" outlineLevel="0" collapsed="false">
      <c r="A27" s="27"/>
      <c r="B27" s="28"/>
      <c r="C27" s="19"/>
      <c r="D27" s="19"/>
      <c r="E27" s="29"/>
      <c r="F27" s="19"/>
      <c r="G27" s="30"/>
      <c r="H27" s="28"/>
      <c r="I27" s="17" t="str">
        <f aca="false">IF(COUNTA(A27:H27)=0,"",IFERROR(IF(A27="","ENTER MARKET DATE",IF(NOT(ISNUMBER(A27)),"ENTER A VALID DATE",IF(B27="","ENTER MARKET NAME",IF(NOT(ISTEXT(B27)),"ENTER MARKET NAME AS TEXT",IF(COUNTIFS($A$5:$A$54,A27,$B$5:$B$54,B27)&gt;1,"REMOVE DUPLICATE MARKET DAY",IF(OR(NOT(ISNUMBER(C27)),C27&lt;0),"ENTER BOOTH FEE AS 0 OR MORE",IF(OR(NOT(ISNUMBER(D27)),D27&lt;0),"ENTER TRAVEL COST AS 0 OR MORE",IF(OR(NOT(ISNUMBER(E27)),E27&lt;=0),"ENTER MARKET HOURS ABOVE 0",IF(OR(NOT(ISNUMBER(F27)),F27&lt;0),"ENTER SALES AS 0 OR MORE",IF(AND(G27&lt;&gt;"",OR(NOT(ISNUMBER(G27)),G27&lt;0,G27&lt;&gt;INT(G27))),"ENTER TRANSACTIONS AS A WHOLE NUMBER","READY")))))))))),"FIX INVALID MARKET ENTRY"))</f>
        <v/>
      </c>
    </row>
    <row r="28" customFormat="false" ht="22" hidden="false" customHeight="true" outlineLevel="0" collapsed="false">
      <c r="A28" s="27"/>
      <c r="B28" s="28"/>
      <c r="C28" s="19"/>
      <c r="D28" s="19"/>
      <c r="E28" s="29"/>
      <c r="F28" s="19"/>
      <c r="G28" s="30"/>
      <c r="H28" s="28"/>
      <c r="I28" s="17" t="str">
        <f aca="false">IF(COUNTA(A28:H28)=0,"",IFERROR(IF(A28="","ENTER MARKET DATE",IF(NOT(ISNUMBER(A28)),"ENTER A VALID DATE",IF(B28="","ENTER MARKET NAME",IF(NOT(ISTEXT(B28)),"ENTER MARKET NAME AS TEXT",IF(COUNTIFS($A$5:$A$54,A28,$B$5:$B$54,B28)&gt;1,"REMOVE DUPLICATE MARKET DAY",IF(OR(NOT(ISNUMBER(C28)),C28&lt;0),"ENTER BOOTH FEE AS 0 OR MORE",IF(OR(NOT(ISNUMBER(D28)),D28&lt;0),"ENTER TRAVEL COST AS 0 OR MORE",IF(OR(NOT(ISNUMBER(E28)),E28&lt;=0),"ENTER MARKET HOURS ABOVE 0",IF(OR(NOT(ISNUMBER(F28)),F28&lt;0),"ENTER SALES AS 0 OR MORE",IF(AND(G28&lt;&gt;"",OR(NOT(ISNUMBER(G28)),G28&lt;0,G28&lt;&gt;INT(G28))),"ENTER TRANSACTIONS AS A WHOLE NUMBER","READY")))))))))),"FIX INVALID MARKET ENTRY"))</f>
        <v/>
      </c>
    </row>
    <row r="29" customFormat="false" ht="22" hidden="false" customHeight="true" outlineLevel="0" collapsed="false">
      <c r="A29" s="27"/>
      <c r="B29" s="28"/>
      <c r="C29" s="19"/>
      <c r="D29" s="19"/>
      <c r="E29" s="29"/>
      <c r="F29" s="19"/>
      <c r="G29" s="30"/>
      <c r="H29" s="28"/>
      <c r="I29" s="17" t="str">
        <f aca="false">IF(COUNTA(A29:H29)=0,"",IFERROR(IF(A29="","ENTER MARKET DATE",IF(NOT(ISNUMBER(A29)),"ENTER A VALID DATE",IF(B29="","ENTER MARKET NAME",IF(NOT(ISTEXT(B29)),"ENTER MARKET NAME AS TEXT",IF(COUNTIFS($A$5:$A$54,A29,$B$5:$B$54,B29)&gt;1,"REMOVE DUPLICATE MARKET DAY",IF(OR(NOT(ISNUMBER(C29)),C29&lt;0),"ENTER BOOTH FEE AS 0 OR MORE",IF(OR(NOT(ISNUMBER(D29)),D29&lt;0),"ENTER TRAVEL COST AS 0 OR MORE",IF(OR(NOT(ISNUMBER(E29)),E29&lt;=0),"ENTER MARKET HOURS ABOVE 0",IF(OR(NOT(ISNUMBER(F29)),F29&lt;0),"ENTER SALES AS 0 OR MORE",IF(AND(G29&lt;&gt;"",OR(NOT(ISNUMBER(G29)),G29&lt;0,G29&lt;&gt;INT(G29))),"ENTER TRANSACTIONS AS A WHOLE NUMBER","READY")))))))))),"FIX INVALID MARKET ENTRY"))</f>
        <v/>
      </c>
    </row>
    <row r="30" customFormat="false" ht="22" hidden="false" customHeight="true" outlineLevel="0" collapsed="false">
      <c r="A30" s="27"/>
      <c r="B30" s="28"/>
      <c r="C30" s="19"/>
      <c r="D30" s="19"/>
      <c r="E30" s="29"/>
      <c r="F30" s="19"/>
      <c r="G30" s="30"/>
      <c r="H30" s="28"/>
      <c r="I30" s="17" t="str">
        <f aca="false">IF(COUNTA(A30:H30)=0,"",IFERROR(IF(A30="","ENTER MARKET DATE",IF(NOT(ISNUMBER(A30)),"ENTER A VALID DATE",IF(B30="","ENTER MARKET NAME",IF(NOT(ISTEXT(B30)),"ENTER MARKET NAME AS TEXT",IF(COUNTIFS($A$5:$A$54,A30,$B$5:$B$54,B30)&gt;1,"REMOVE DUPLICATE MARKET DAY",IF(OR(NOT(ISNUMBER(C30)),C30&lt;0),"ENTER BOOTH FEE AS 0 OR MORE",IF(OR(NOT(ISNUMBER(D30)),D30&lt;0),"ENTER TRAVEL COST AS 0 OR MORE",IF(OR(NOT(ISNUMBER(E30)),E30&lt;=0),"ENTER MARKET HOURS ABOVE 0",IF(OR(NOT(ISNUMBER(F30)),F30&lt;0),"ENTER SALES AS 0 OR MORE",IF(AND(G30&lt;&gt;"",OR(NOT(ISNUMBER(G30)),G30&lt;0,G30&lt;&gt;INT(G30))),"ENTER TRANSACTIONS AS A WHOLE NUMBER","READY")))))))))),"FIX INVALID MARKET ENTRY"))</f>
        <v/>
      </c>
    </row>
    <row r="31" customFormat="false" ht="22" hidden="false" customHeight="true" outlineLevel="0" collapsed="false">
      <c r="A31" s="27"/>
      <c r="B31" s="28"/>
      <c r="C31" s="19"/>
      <c r="D31" s="19"/>
      <c r="E31" s="29"/>
      <c r="F31" s="19"/>
      <c r="G31" s="30"/>
      <c r="H31" s="28"/>
      <c r="I31" s="17" t="str">
        <f aca="false">IF(COUNTA(A31:H31)=0,"",IFERROR(IF(A31="","ENTER MARKET DATE",IF(NOT(ISNUMBER(A31)),"ENTER A VALID DATE",IF(B31="","ENTER MARKET NAME",IF(NOT(ISTEXT(B31)),"ENTER MARKET NAME AS TEXT",IF(COUNTIFS($A$5:$A$54,A31,$B$5:$B$54,B31)&gt;1,"REMOVE DUPLICATE MARKET DAY",IF(OR(NOT(ISNUMBER(C31)),C31&lt;0),"ENTER BOOTH FEE AS 0 OR MORE",IF(OR(NOT(ISNUMBER(D31)),D31&lt;0),"ENTER TRAVEL COST AS 0 OR MORE",IF(OR(NOT(ISNUMBER(E31)),E31&lt;=0),"ENTER MARKET HOURS ABOVE 0",IF(OR(NOT(ISNUMBER(F31)),F31&lt;0),"ENTER SALES AS 0 OR MORE",IF(AND(G31&lt;&gt;"",OR(NOT(ISNUMBER(G31)),G31&lt;0,G31&lt;&gt;INT(G31))),"ENTER TRANSACTIONS AS A WHOLE NUMBER","READY")))))))))),"FIX INVALID MARKET ENTRY"))</f>
        <v/>
      </c>
    </row>
    <row r="32" customFormat="false" ht="22" hidden="false" customHeight="true" outlineLevel="0" collapsed="false">
      <c r="A32" s="27"/>
      <c r="B32" s="28"/>
      <c r="C32" s="19"/>
      <c r="D32" s="19"/>
      <c r="E32" s="29"/>
      <c r="F32" s="19"/>
      <c r="G32" s="30"/>
      <c r="H32" s="28"/>
      <c r="I32" s="17" t="str">
        <f aca="false">IF(COUNTA(A32:H32)=0,"",IFERROR(IF(A32="","ENTER MARKET DATE",IF(NOT(ISNUMBER(A32)),"ENTER A VALID DATE",IF(B32="","ENTER MARKET NAME",IF(NOT(ISTEXT(B32)),"ENTER MARKET NAME AS TEXT",IF(COUNTIFS($A$5:$A$54,A32,$B$5:$B$54,B32)&gt;1,"REMOVE DUPLICATE MARKET DAY",IF(OR(NOT(ISNUMBER(C32)),C32&lt;0),"ENTER BOOTH FEE AS 0 OR MORE",IF(OR(NOT(ISNUMBER(D32)),D32&lt;0),"ENTER TRAVEL COST AS 0 OR MORE",IF(OR(NOT(ISNUMBER(E32)),E32&lt;=0),"ENTER MARKET HOURS ABOVE 0",IF(OR(NOT(ISNUMBER(F32)),F32&lt;0),"ENTER SALES AS 0 OR MORE",IF(AND(G32&lt;&gt;"",OR(NOT(ISNUMBER(G32)),G32&lt;0,G32&lt;&gt;INT(G32))),"ENTER TRANSACTIONS AS A WHOLE NUMBER","READY")))))))))),"FIX INVALID MARKET ENTRY"))</f>
        <v/>
      </c>
    </row>
    <row r="33" customFormat="false" ht="22" hidden="false" customHeight="true" outlineLevel="0" collapsed="false">
      <c r="A33" s="27"/>
      <c r="B33" s="28"/>
      <c r="C33" s="19"/>
      <c r="D33" s="19"/>
      <c r="E33" s="29"/>
      <c r="F33" s="19"/>
      <c r="G33" s="30"/>
      <c r="H33" s="28"/>
      <c r="I33" s="17" t="str">
        <f aca="false">IF(COUNTA(A33:H33)=0,"",IFERROR(IF(A33="","ENTER MARKET DATE",IF(NOT(ISNUMBER(A33)),"ENTER A VALID DATE",IF(B33="","ENTER MARKET NAME",IF(NOT(ISTEXT(B33)),"ENTER MARKET NAME AS TEXT",IF(COUNTIFS($A$5:$A$54,A33,$B$5:$B$54,B33)&gt;1,"REMOVE DUPLICATE MARKET DAY",IF(OR(NOT(ISNUMBER(C33)),C33&lt;0),"ENTER BOOTH FEE AS 0 OR MORE",IF(OR(NOT(ISNUMBER(D33)),D33&lt;0),"ENTER TRAVEL COST AS 0 OR MORE",IF(OR(NOT(ISNUMBER(E33)),E33&lt;=0),"ENTER MARKET HOURS ABOVE 0",IF(OR(NOT(ISNUMBER(F33)),F33&lt;0),"ENTER SALES AS 0 OR MORE",IF(AND(G33&lt;&gt;"",OR(NOT(ISNUMBER(G33)),G33&lt;0,G33&lt;&gt;INT(G33))),"ENTER TRANSACTIONS AS A WHOLE NUMBER","READY")))))))))),"FIX INVALID MARKET ENTRY"))</f>
        <v/>
      </c>
    </row>
    <row r="34" customFormat="false" ht="22" hidden="false" customHeight="true" outlineLevel="0" collapsed="false">
      <c r="A34" s="27"/>
      <c r="B34" s="28"/>
      <c r="C34" s="19"/>
      <c r="D34" s="19"/>
      <c r="E34" s="29"/>
      <c r="F34" s="19"/>
      <c r="G34" s="30"/>
      <c r="H34" s="28"/>
      <c r="I34" s="17" t="str">
        <f aca="false">IF(COUNTA(A34:H34)=0,"",IFERROR(IF(A34="","ENTER MARKET DATE",IF(NOT(ISNUMBER(A34)),"ENTER A VALID DATE",IF(B34="","ENTER MARKET NAME",IF(NOT(ISTEXT(B34)),"ENTER MARKET NAME AS TEXT",IF(COUNTIFS($A$5:$A$54,A34,$B$5:$B$54,B34)&gt;1,"REMOVE DUPLICATE MARKET DAY",IF(OR(NOT(ISNUMBER(C34)),C34&lt;0),"ENTER BOOTH FEE AS 0 OR MORE",IF(OR(NOT(ISNUMBER(D34)),D34&lt;0),"ENTER TRAVEL COST AS 0 OR MORE",IF(OR(NOT(ISNUMBER(E34)),E34&lt;=0),"ENTER MARKET HOURS ABOVE 0",IF(OR(NOT(ISNUMBER(F34)),F34&lt;0),"ENTER SALES AS 0 OR MORE",IF(AND(G34&lt;&gt;"",OR(NOT(ISNUMBER(G34)),G34&lt;0,G34&lt;&gt;INT(G34))),"ENTER TRANSACTIONS AS A WHOLE NUMBER","READY")))))))))),"FIX INVALID MARKET ENTRY"))</f>
        <v/>
      </c>
    </row>
    <row r="35" customFormat="false" ht="22" hidden="false" customHeight="true" outlineLevel="0" collapsed="false">
      <c r="A35" s="27"/>
      <c r="B35" s="28"/>
      <c r="C35" s="19"/>
      <c r="D35" s="19"/>
      <c r="E35" s="29"/>
      <c r="F35" s="19"/>
      <c r="G35" s="30"/>
      <c r="H35" s="28"/>
      <c r="I35" s="17" t="str">
        <f aca="false">IF(COUNTA(A35:H35)=0,"",IFERROR(IF(A35="","ENTER MARKET DATE",IF(NOT(ISNUMBER(A35)),"ENTER A VALID DATE",IF(B35="","ENTER MARKET NAME",IF(NOT(ISTEXT(B35)),"ENTER MARKET NAME AS TEXT",IF(COUNTIFS($A$5:$A$54,A35,$B$5:$B$54,B35)&gt;1,"REMOVE DUPLICATE MARKET DAY",IF(OR(NOT(ISNUMBER(C35)),C35&lt;0),"ENTER BOOTH FEE AS 0 OR MORE",IF(OR(NOT(ISNUMBER(D35)),D35&lt;0),"ENTER TRAVEL COST AS 0 OR MORE",IF(OR(NOT(ISNUMBER(E35)),E35&lt;=0),"ENTER MARKET HOURS ABOVE 0",IF(OR(NOT(ISNUMBER(F35)),F35&lt;0),"ENTER SALES AS 0 OR MORE",IF(AND(G35&lt;&gt;"",OR(NOT(ISNUMBER(G35)),G35&lt;0,G35&lt;&gt;INT(G35))),"ENTER TRANSACTIONS AS A WHOLE NUMBER","READY")))))))))),"FIX INVALID MARKET ENTRY"))</f>
        <v/>
      </c>
    </row>
    <row r="36" customFormat="false" ht="22" hidden="false" customHeight="true" outlineLevel="0" collapsed="false">
      <c r="A36" s="27"/>
      <c r="B36" s="28"/>
      <c r="C36" s="19"/>
      <c r="D36" s="19"/>
      <c r="E36" s="29"/>
      <c r="F36" s="19"/>
      <c r="G36" s="30"/>
      <c r="H36" s="28"/>
      <c r="I36" s="17" t="str">
        <f aca="false">IF(COUNTA(A36:H36)=0,"",IFERROR(IF(A36="","ENTER MARKET DATE",IF(NOT(ISNUMBER(A36)),"ENTER A VALID DATE",IF(B36="","ENTER MARKET NAME",IF(NOT(ISTEXT(B36)),"ENTER MARKET NAME AS TEXT",IF(COUNTIFS($A$5:$A$54,A36,$B$5:$B$54,B36)&gt;1,"REMOVE DUPLICATE MARKET DAY",IF(OR(NOT(ISNUMBER(C36)),C36&lt;0),"ENTER BOOTH FEE AS 0 OR MORE",IF(OR(NOT(ISNUMBER(D36)),D36&lt;0),"ENTER TRAVEL COST AS 0 OR MORE",IF(OR(NOT(ISNUMBER(E36)),E36&lt;=0),"ENTER MARKET HOURS ABOVE 0",IF(OR(NOT(ISNUMBER(F36)),F36&lt;0),"ENTER SALES AS 0 OR MORE",IF(AND(G36&lt;&gt;"",OR(NOT(ISNUMBER(G36)),G36&lt;0,G36&lt;&gt;INT(G36))),"ENTER TRANSACTIONS AS A WHOLE NUMBER","READY")))))))))),"FIX INVALID MARKET ENTRY"))</f>
        <v/>
      </c>
    </row>
    <row r="37" customFormat="false" ht="22" hidden="false" customHeight="true" outlineLevel="0" collapsed="false">
      <c r="A37" s="27"/>
      <c r="B37" s="28"/>
      <c r="C37" s="19"/>
      <c r="D37" s="19"/>
      <c r="E37" s="29"/>
      <c r="F37" s="19"/>
      <c r="G37" s="30"/>
      <c r="H37" s="28"/>
      <c r="I37" s="17" t="str">
        <f aca="false">IF(COUNTA(A37:H37)=0,"",IFERROR(IF(A37="","ENTER MARKET DATE",IF(NOT(ISNUMBER(A37)),"ENTER A VALID DATE",IF(B37="","ENTER MARKET NAME",IF(NOT(ISTEXT(B37)),"ENTER MARKET NAME AS TEXT",IF(COUNTIFS($A$5:$A$54,A37,$B$5:$B$54,B37)&gt;1,"REMOVE DUPLICATE MARKET DAY",IF(OR(NOT(ISNUMBER(C37)),C37&lt;0),"ENTER BOOTH FEE AS 0 OR MORE",IF(OR(NOT(ISNUMBER(D37)),D37&lt;0),"ENTER TRAVEL COST AS 0 OR MORE",IF(OR(NOT(ISNUMBER(E37)),E37&lt;=0),"ENTER MARKET HOURS ABOVE 0",IF(OR(NOT(ISNUMBER(F37)),F37&lt;0),"ENTER SALES AS 0 OR MORE",IF(AND(G37&lt;&gt;"",OR(NOT(ISNUMBER(G37)),G37&lt;0,G37&lt;&gt;INT(G37))),"ENTER TRANSACTIONS AS A WHOLE NUMBER","READY")))))))))),"FIX INVALID MARKET ENTRY"))</f>
        <v/>
      </c>
    </row>
    <row r="38" customFormat="false" ht="22" hidden="false" customHeight="true" outlineLevel="0" collapsed="false">
      <c r="A38" s="27"/>
      <c r="B38" s="28"/>
      <c r="C38" s="19"/>
      <c r="D38" s="19"/>
      <c r="E38" s="29"/>
      <c r="F38" s="19"/>
      <c r="G38" s="30"/>
      <c r="H38" s="28"/>
      <c r="I38" s="17" t="str">
        <f aca="false">IF(COUNTA(A38:H38)=0,"",IFERROR(IF(A38="","ENTER MARKET DATE",IF(NOT(ISNUMBER(A38)),"ENTER A VALID DATE",IF(B38="","ENTER MARKET NAME",IF(NOT(ISTEXT(B38)),"ENTER MARKET NAME AS TEXT",IF(COUNTIFS($A$5:$A$54,A38,$B$5:$B$54,B38)&gt;1,"REMOVE DUPLICATE MARKET DAY",IF(OR(NOT(ISNUMBER(C38)),C38&lt;0),"ENTER BOOTH FEE AS 0 OR MORE",IF(OR(NOT(ISNUMBER(D38)),D38&lt;0),"ENTER TRAVEL COST AS 0 OR MORE",IF(OR(NOT(ISNUMBER(E38)),E38&lt;=0),"ENTER MARKET HOURS ABOVE 0",IF(OR(NOT(ISNUMBER(F38)),F38&lt;0),"ENTER SALES AS 0 OR MORE",IF(AND(G38&lt;&gt;"",OR(NOT(ISNUMBER(G38)),G38&lt;0,G38&lt;&gt;INT(G38))),"ENTER TRANSACTIONS AS A WHOLE NUMBER","READY")))))))))),"FIX INVALID MARKET ENTRY"))</f>
        <v/>
      </c>
    </row>
    <row r="39" customFormat="false" ht="22" hidden="false" customHeight="true" outlineLevel="0" collapsed="false">
      <c r="A39" s="27"/>
      <c r="B39" s="28"/>
      <c r="C39" s="19"/>
      <c r="D39" s="19"/>
      <c r="E39" s="29"/>
      <c r="F39" s="19"/>
      <c r="G39" s="30"/>
      <c r="H39" s="28"/>
      <c r="I39" s="17" t="str">
        <f aca="false">IF(COUNTA(A39:H39)=0,"",IFERROR(IF(A39="","ENTER MARKET DATE",IF(NOT(ISNUMBER(A39)),"ENTER A VALID DATE",IF(B39="","ENTER MARKET NAME",IF(NOT(ISTEXT(B39)),"ENTER MARKET NAME AS TEXT",IF(COUNTIFS($A$5:$A$54,A39,$B$5:$B$54,B39)&gt;1,"REMOVE DUPLICATE MARKET DAY",IF(OR(NOT(ISNUMBER(C39)),C39&lt;0),"ENTER BOOTH FEE AS 0 OR MORE",IF(OR(NOT(ISNUMBER(D39)),D39&lt;0),"ENTER TRAVEL COST AS 0 OR MORE",IF(OR(NOT(ISNUMBER(E39)),E39&lt;=0),"ENTER MARKET HOURS ABOVE 0",IF(OR(NOT(ISNUMBER(F39)),F39&lt;0),"ENTER SALES AS 0 OR MORE",IF(AND(G39&lt;&gt;"",OR(NOT(ISNUMBER(G39)),G39&lt;0,G39&lt;&gt;INT(G39))),"ENTER TRANSACTIONS AS A WHOLE NUMBER","READY")))))))))),"FIX INVALID MARKET ENTRY"))</f>
        <v/>
      </c>
    </row>
    <row r="40" customFormat="false" ht="22" hidden="false" customHeight="true" outlineLevel="0" collapsed="false">
      <c r="A40" s="27"/>
      <c r="B40" s="28"/>
      <c r="C40" s="19"/>
      <c r="D40" s="19"/>
      <c r="E40" s="29"/>
      <c r="F40" s="19"/>
      <c r="G40" s="30"/>
      <c r="H40" s="28"/>
      <c r="I40" s="17" t="str">
        <f aca="false">IF(COUNTA(A40:H40)=0,"",IFERROR(IF(A40="","ENTER MARKET DATE",IF(NOT(ISNUMBER(A40)),"ENTER A VALID DATE",IF(B40="","ENTER MARKET NAME",IF(NOT(ISTEXT(B40)),"ENTER MARKET NAME AS TEXT",IF(COUNTIFS($A$5:$A$54,A40,$B$5:$B$54,B40)&gt;1,"REMOVE DUPLICATE MARKET DAY",IF(OR(NOT(ISNUMBER(C40)),C40&lt;0),"ENTER BOOTH FEE AS 0 OR MORE",IF(OR(NOT(ISNUMBER(D40)),D40&lt;0),"ENTER TRAVEL COST AS 0 OR MORE",IF(OR(NOT(ISNUMBER(E40)),E40&lt;=0),"ENTER MARKET HOURS ABOVE 0",IF(OR(NOT(ISNUMBER(F40)),F40&lt;0),"ENTER SALES AS 0 OR MORE",IF(AND(G40&lt;&gt;"",OR(NOT(ISNUMBER(G40)),G40&lt;0,G40&lt;&gt;INT(G40))),"ENTER TRANSACTIONS AS A WHOLE NUMBER","READY")))))))))),"FIX INVALID MARKET ENTRY"))</f>
        <v/>
      </c>
    </row>
    <row r="41" customFormat="false" ht="22" hidden="false" customHeight="true" outlineLevel="0" collapsed="false">
      <c r="A41" s="27"/>
      <c r="B41" s="28"/>
      <c r="C41" s="19"/>
      <c r="D41" s="19"/>
      <c r="E41" s="29"/>
      <c r="F41" s="19"/>
      <c r="G41" s="30"/>
      <c r="H41" s="28"/>
      <c r="I41" s="17" t="str">
        <f aca="false">IF(COUNTA(A41:H41)=0,"",IFERROR(IF(A41="","ENTER MARKET DATE",IF(NOT(ISNUMBER(A41)),"ENTER A VALID DATE",IF(B41="","ENTER MARKET NAME",IF(NOT(ISTEXT(B41)),"ENTER MARKET NAME AS TEXT",IF(COUNTIFS($A$5:$A$54,A41,$B$5:$B$54,B41)&gt;1,"REMOVE DUPLICATE MARKET DAY",IF(OR(NOT(ISNUMBER(C41)),C41&lt;0),"ENTER BOOTH FEE AS 0 OR MORE",IF(OR(NOT(ISNUMBER(D41)),D41&lt;0),"ENTER TRAVEL COST AS 0 OR MORE",IF(OR(NOT(ISNUMBER(E41)),E41&lt;=0),"ENTER MARKET HOURS ABOVE 0",IF(OR(NOT(ISNUMBER(F41)),F41&lt;0),"ENTER SALES AS 0 OR MORE",IF(AND(G41&lt;&gt;"",OR(NOT(ISNUMBER(G41)),G41&lt;0,G41&lt;&gt;INT(G41))),"ENTER TRANSACTIONS AS A WHOLE NUMBER","READY")))))))))),"FIX INVALID MARKET ENTRY"))</f>
        <v/>
      </c>
    </row>
    <row r="42" customFormat="false" ht="22" hidden="false" customHeight="true" outlineLevel="0" collapsed="false">
      <c r="A42" s="27"/>
      <c r="B42" s="28"/>
      <c r="C42" s="19"/>
      <c r="D42" s="19"/>
      <c r="E42" s="29"/>
      <c r="F42" s="19"/>
      <c r="G42" s="30"/>
      <c r="H42" s="28"/>
      <c r="I42" s="17" t="str">
        <f aca="false">IF(COUNTA(A42:H42)=0,"",IFERROR(IF(A42="","ENTER MARKET DATE",IF(NOT(ISNUMBER(A42)),"ENTER A VALID DATE",IF(B42="","ENTER MARKET NAME",IF(NOT(ISTEXT(B42)),"ENTER MARKET NAME AS TEXT",IF(COUNTIFS($A$5:$A$54,A42,$B$5:$B$54,B42)&gt;1,"REMOVE DUPLICATE MARKET DAY",IF(OR(NOT(ISNUMBER(C42)),C42&lt;0),"ENTER BOOTH FEE AS 0 OR MORE",IF(OR(NOT(ISNUMBER(D42)),D42&lt;0),"ENTER TRAVEL COST AS 0 OR MORE",IF(OR(NOT(ISNUMBER(E42)),E42&lt;=0),"ENTER MARKET HOURS ABOVE 0",IF(OR(NOT(ISNUMBER(F42)),F42&lt;0),"ENTER SALES AS 0 OR MORE",IF(AND(G42&lt;&gt;"",OR(NOT(ISNUMBER(G42)),G42&lt;0,G42&lt;&gt;INT(G42))),"ENTER TRANSACTIONS AS A WHOLE NUMBER","READY")))))))))),"FIX INVALID MARKET ENTRY"))</f>
        <v/>
      </c>
    </row>
    <row r="43" customFormat="false" ht="22" hidden="false" customHeight="true" outlineLevel="0" collapsed="false">
      <c r="A43" s="27"/>
      <c r="B43" s="28"/>
      <c r="C43" s="19"/>
      <c r="D43" s="19"/>
      <c r="E43" s="29"/>
      <c r="F43" s="19"/>
      <c r="G43" s="30"/>
      <c r="H43" s="28"/>
      <c r="I43" s="17" t="str">
        <f aca="false">IF(COUNTA(A43:H43)=0,"",IFERROR(IF(A43="","ENTER MARKET DATE",IF(NOT(ISNUMBER(A43)),"ENTER A VALID DATE",IF(B43="","ENTER MARKET NAME",IF(NOT(ISTEXT(B43)),"ENTER MARKET NAME AS TEXT",IF(COUNTIFS($A$5:$A$54,A43,$B$5:$B$54,B43)&gt;1,"REMOVE DUPLICATE MARKET DAY",IF(OR(NOT(ISNUMBER(C43)),C43&lt;0),"ENTER BOOTH FEE AS 0 OR MORE",IF(OR(NOT(ISNUMBER(D43)),D43&lt;0),"ENTER TRAVEL COST AS 0 OR MORE",IF(OR(NOT(ISNUMBER(E43)),E43&lt;=0),"ENTER MARKET HOURS ABOVE 0",IF(OR(NOT(ISNUMBER(F43)),F43&lt;0),"ENTER SALES AS 0 OR MORE",IF(AND(G43&lt;&gt;"",OR(NOT(ISNUMBER(G43)),G43&lt;0,G43&lt;&gt;INT(G43))),"ENTER TRANSACTIONS AS A WHOLE NUMBER","READY")))))))))),"FIX INVALID MARKET ENTRY"))</f>
        <v/>
      </c>
    </row>
    <row r="44" customFormat="false" ht="22" hidden="false" customHeight="true" outlineLevel="0" collapsed="false">
      <c r="A44" s="27"/>
      <c r="B44" s="28"/>
      <c r="C44" s="19"/>
      <c r="D44" s="19"/>
      <c r="E44" s="29"/>
      <c r="F44" s="19"/>
      <c r="G44" s="30"/>
      <c r="H44" s="28"/>
      <c r="I44" s="17" t="str">
        <f aca="false">IF(COUNTA(A44:H44)=0,"",IFERROR(IF(A44="","ENTER MARKET DATE",IF(NOT(ISNUMBER(A44)),"ENTER A VALID DATE",IF(B44="","ENTER MARKET NAME",IF(NOT(ISTEXT(B44)),"ENTER MARKET NAME AS TEXT",IF(COUNTIFS($A$5:$A$54,A44,$B$5:$B$54,B44)&gt;1,"REMOVE DUPLICATE MARKET DAY",IF(OR(NOT(ISNUMBER(C44)),C44&lt;0),"ENTER BOOTH FEE AS 0 OR MORE",IF(OR(NOT(ISNUMBER(D44)),D44&lt;0),"ENTER TRAVEL COST AS 0 OR MORE",IF(OR(NOT(ISNUMBER(E44)),E44&lt;=0),"ENTER MARKET HOURS ABOVE 0",IF(OR(NOT(ISNUMBER(F44)),F44&lt;0),"ENTER SALES AS 0 OR MORE",IF(AND(G44&lt;&gt;"",OR(NOT(ISNUMBER(G44)),G44&lt;0,G44&lt;&gt;INT(G44))),"ENTER TRANSACTIONS AS A WHOLE NUMBER","READY")))))))))),"FIX INVALID MARKET ENTRY"))</f>
        <v/>
      </c>
    </row>
    <row r="45" customFormat="false" ht="22" hidden="false" customHeight="true" outlineLevel="0" collapsed="false">
      <c r="A45" s="27"/>
      <c r="B45" s="28"/>
      <c r="C45" s="19"/>
      <c r="D45" s="19"/>
      <c r="E45" s="29"/>
      <c r="F45" s="19"/>
      <c r="G45" s="30"/>
      <c r="H45" s="28"/>
      <c r="I45" s="17" t="str">
        <f aca="false">IF(COUNTA(A45:H45)=0,"",IFERROR(IF(A45="","ENTER MARKET DATE",IF(NOT(ISNUMBER(A45)),"ENTER A VALID DATE",IF(B45="","ENTER MARKET NAME",IF(NOT(ISTEXT(B45)),"ENTER MARKET NAME AS TEXT",IF(COUNTIFS($A$5:$A$54,A45,$B$5:$B$54,B45)&gt;1,"REMOVE DUPLICATE MARKET DAY",IF(OR(NOT(ISNUMBER(C45)),C45&lt;0),"ENTER BOOTH FEE AS 0 OR MORE",IF(OR(NOT(ISNUMBER(D45)),D45&lt;0),"ENTER TRAVEL COST AS 0 OR MORE",IF(OR(NOT(ISNUMBER(E45)),E45&lt;=0),"ENTER MARKET HOURS ABOVE 0",IF(OR(NOT(ISNUMBER(F45)),F45&lt;0),"ENTER SALES AS 0 OR MORE",IF(AND(G45&lt;&gt;"",OR(NOT(ISNUMBER(G45)),G45&lt;0,G45&lt;&gt;INT(G45))),"ENTER TRANSACTIONS AS A WHOLE NUMBER","READY")))))))))),"FIX INVALID MARKET ENTRY"))</f>
        <v/>
      </c>
    </row>
    <row r="46" customFormat="false" ht="22" hidden="false" customHeight="true" outlineLevel="0" collapsed="false">
      <c r="A46" s="27"/>
      <c r="B46" s="28"/>
      <c r="C46" s="19"/>
      <c r="D46" s="19"/>
      <c r="E46" s="29"/>
      <c r="F46" s="19"/>
      <c r="G46" s="30"/>
      <c r="H46" s="28"/>
      <c r="I46" s="17" t="str">
        <f aca="false">IF(COUNTA(A46:H46)=0,"",IFERROR(IF(A46="","ENTER MARKET DATE",IF(NOT(ISNUMBER(A46)),"ENTER A VALID DATE",IF(B46="","ENTER MARKET NAME",IF(NOT(ISTEXT(B46)),"ENTER MARKET NAME AS TEXT",IF(COUNTIFS($A$5:$A$54,A46,$B$5:$B$54,B46)&gt;1,"REMOVE DUPLICATE MARKET DAY",IF(OR(NOT(ISNUMBER(C46)),C46&lt;0),"ENTER BOOTH FEE AS 0 OR MORE",IF(OR(NOT(ISNUMBER(D46)),D46&lt;0),"ENTER TRAVEL COST AS 0 OR MORE",IF(OR(NOT(ISNUMBER(E46)),E46&lt;=0),"ENTER MARKET HOURS ABOVE 0",IF(OR(NOT(ISNUMBER(F46)),F46&lt;0),"ENTER SALES AS 0 OR MORE",IF(AND(G46&lt;&gt;"",OR(NOT(ISNUMBER(G46)),G46&lt;0,G46&lt;&gt;INT(G46))),"ENTER TRANSACTIONS AS A WHOLE NUMBER","READY")))))))))),"FIX INVALID MARKET ENTRY"))</f>
        <v/>
      </c>
    </row>
    <row r="47" customFormat="false" ht="22" hidden="false" customHeight="true" outlineLevel="0" collapsed="false">
      <c r="A47" s="27"/>
      <c r="B47" s="28"/>
      <c r="C47" s="19"/>
      <c r="D47" s="19"/>
      <c r="E47" s="29"/>
      <c r="F47" s="19"/>
      <c r="G47" s="30"/>
      <c r="H47" s="28"/>
      <c r="I47" s="17" t="str">
        <f aca="false">IF(COUNTA(A47:H47)=0,"",IFERROR(IF(A47="","ENTER MARKET DATE",IF(NOT(ISNUMBER(A47)),"ENTER A VALID DATE",IF(B47="","ENTER MARKET NAME",IF(NOT(ISTEXT(B47)),"ENTER MARKET NAME AS TEXT",IF(COUNTIFS($A$5:$A$54,A47,$B$5:$B$54,B47)&gt;1,"REMOVE DUPLICATE MARKET DAY",IF(OR(NOT(ISNUMBER(C47)),C47&lt;0),"ENTER BOOTH FEE AS 0 OR MORE",IF(OR(NOT(ISNUMBER(D47)),D47&lt;0),"ENTER TRAVEL COST AS 0 OR MORE",IF(OR(NOT(ISNUMBER(E47)),E47&lt;=0),"ENTER MARKET HOURS ABOVE 0",IF(OR(NOT(ISNUMBER(F47)),F47&lt;0),"ENTER SALES AS 0 OR MORE",IF(AND(G47&lt;&gt;"",OR(NOT(ISNUMBER(G47)),G47&lt;0,G47&lt;&gt;INT(G47))),"ENTER TRANSACTIONS AS A WHOLE NUMBER","READY")))))))))),"FIX INVALID MARKET ENTRY"))</f>
        <v/>
      </c>
    </row>
    <row r="48" customFormat="false" ht="22" hidden="false" customHeight="true" outlineLevel="0" collapsed="false">
      <c r="A48" s="27"/>
      <c r="B48" s="28"/>
      <c r="C48" s="19"/>
      <c r="D48" s="19"/>
      <c r="E48" s="29"/>
      <c r="F48" s="19"/>
      <c r="G48" s="30"/>
      <c r="H48" s="28"/>
      <c r="I48" s="17" t="str">
        <f aca="false">IF(COUNTA(A48:H48)=0,"",IFERROR(IF(A48="","ENTER MARKET DATE",IF(NOT(ISNUMBER(A48)),"ENTER A VALID DATE",IF(B48="","ENTER MARKET NAME",IF(NOT(ISTEXT(B48)),"ENTER MARKET NAME AS TEXT",IF(COUNTIFS($A$5:$A$54,A48,$B$5:$B$54,B48)&gt;1,"REMOVE DUPLICATE MARKET DAY",IF(OR(NOT(ISNUMBER(C48)),C48&lt;0),"ENTER BOOTH FEE AS 0 OR MORE",IF(OR(NOT(ISNUMBER(D48)),D48&lt;0),"ENTER TRAVEL COST AS 0 OR MORE",IF(OR(NOT(ISNUMBER(E48)),E48&lt;=0),"ENTER MARKET HOURS ABOVE 0",IF(OR(NOT(ISNUMBER(F48)),F48&lt;0),"ENTER SALES AS 0 OR MORE",IF(AND(G48&lt;&gt;"",OR(NOT(ISNUMBER(G48)),G48&lt;0,G48&lt;&gt;INT(G48))),"ENTER TRANSACTIONS AS A WHOLE NUMBER","READY")))))))))),"FIX INVALID MARKET ENTRY"))</f>
        <v/>
      </c>
    </row>
    <row r="49" customFormat="false" ht="22" hidden="false" customHeight="true" outlineLevel="0" collapsed="false">
      <c r="A49" s="27"/>
      <c r="B49" s="28"/>
      <c r="C49" s="19"/>
      <c r="D49" s="19"/>
      <c r="E49" s="29"/>
      <c r="F49" s="19"/>
      <c r="G49" s="30"/>
      <c r="H49" s="28"/>
      <c r="I49" s="17" t="str">
        <f aca="false">IF(COUNTA(A49:H49)=0,"",IFERROR(IF(A49="","ENTER MARKET DATE",IF(NOT(ISNUMBER(A49)),"ENTER A VALID DATE",IF(B49="","ENTER MARKET NAME",IF(NOT(ISTEXT(B49)),"ENTER MARKET NAME AS TEXT",IF(COUNTIFS($A$5:$A$54,A49,$B$5:$B$54,B49)&gt;1,"REMOVE DUPLICATE MARKET DAY",IF(OR(NOT(ISNUMBER(C49)),C49&lt;0),"ENTER BOOTH FEE AS 0 OR MORE",IF(OR(NOT(ISNUMBER(D49)),D49&lt;0),"ENTER TRAVEL COST AS 0 OR MORE",IF(OR(NOT(ISNUMBER(E49)),E49&lt;=0),"ENTER MARKET HOURS ABOVE 0",IF(OR(NOT(ISNUMBER(F49)),F49&lt;0),"ENTER SALES AS 0 OR MORE",IF(AND(G49&lt;&gt;"",OR(NOT(ISNUMBER(G49)),G49&lt;0,G49&lt;&gt;INT(G49))),"ENTER TRANSACTIONS AS A WHOLE NUMBER","READY")))))))))),"FIX INVALID MARKET ENTRY"))</f>
        <v/>
      </c>
    </row>
    <row r="50" customFormat="false" ht="22" hidden="false" customHeight="true" outlineLevel="0" collapsed="false">
      <c r="A50" s="27"/>
      <c r="B50" s="28"/>
      <c r="C50" s="19"/>
      <c r="D50" s="19"/>
      <c r="E50" s="29"/>
      <c r="F50" s="19"/>
      <c r="G50" s="30"/>
      <c r="H50" s="28"/>
      <c r="I50" s="17" t="str">
        <f aca="false">IF(COUNTA(A50:H50)=0,"",IFERROR(IF(A50="","ENTER MARKET DATE",IF(NOT(ISNUMBER(A50)),"ENTER A VALID DATE",IF(B50="","ENTER MARKET NAME",IF(NOT(ISTEXT(B50)),"ENTER MARKET NAME AS TEXT",IF(COUNTIFS($A$5:$A$54,A50,$B$5:$B$54,B50)&gt;1,"REMOVE DUPLICATE MARKET DAY",IF(OR(NOT(ISNUMBER(C50)),C50&lt;0),"ENTER BOOTH FEE AS 0 OR MORE",IF(OR(NOT(ISNUMBER(D50)),D50&lt;0),"ENTER TRAVEL COST AS 0 OR MORE",IF(OR(NOT(ISNUMBER(E50)),E50&lt;=0),"ENTER MARKET HOURS ABOVE 0",IF(OR(NOT(ISNUMBER(F50)),F50&lt;0),"ENTER SALES AS 0 OR MORE",IF(AND(G50&lt;&gt;"",OR(NOT(ISNUMBER(G50)),G50&lt;0,G50&lt;&gt;INT(G50))),"ENTER TRANSACTIONS AS A WHOLE NUMBER","READY")))))))))),"FIX INVALID MARKET ENTRY"))</f>
        <v/>
      </c>
    </row>
    <row r="51" customFormat="false" ht="22" hidden="false" customHeight="true" outlineLevel="0" collapsed="false">
      <c r="A51" s="27"/>
      <c r="B51" s="28"/>
      <c r="C51" s="19"/>
      <c r="D51" s="19"/>
      <c r="E51" s="29"/>
      <c r="F51" s="19"/>
      <c r="G51" s="30"/>
      <c r="H51" s="28"/>
      <c r="I51" s="17" t="str">
        <f aca="false">IF(COUNTA(A51:H51)=0,"",IFERROR(IF(A51="","ENTER MARKET DATE",IF(NOT(ISNUMBER(A51)),"ENTER A VALID DATE",IF(B51="","ENTER MARKET NAME",IF(NOT(ISTEXT(B51)),"ENTER MARKET NAME AS TEXT",IF(COUNTIFS($A$5:$A$54,A51,$B$5:$B$54,B51)&gt;1,"REMOVE DUPLICATE MARKET DAY",IF(OR(NOT(ISNUMBER(C51)),C51&lt;0),"ENTER BOOTH FEE AS 0 OR MORE",IF(OR(NOT(ISNUMBER(D51)),D51&lt;0),"ENTER TRAVEL COST AS 0 OR MORE",IF(OR(NOT(ISNUMBER(E51)),E51&lt;=0),"ENTER MARKET HOURS ABOVE 0",IF(OR(NOT(ISNUMBER(F51)),F51&lt;0),"ENTER SALES AS 0 OR MORE",IF(AND(G51&lt;&gt;"",OR(NOT(ISNUMBER(G51)),G51&lt;0,G51&lt;&gt;INT(G51))),"ENTER TRANSACTIONS AS A WHOLE NUMBER","READY")))))))))),"FIX INVALID MARKET ENTRY"))</f>
        <v/>
      </c>
    </row>
    <row r="52" customFormat="false" ht="22" hidden="false" customHeight="true" outlineLevel="0" collapsed="false">
      <c r="A52" s="27"/>
      <c r="B52" s="28"/>
      <c r="C52" s="19"/>
      <c r="D52" s="19"/>
      <c r="E52" s="29"/>
      <c r="F52" s="19"/>
      <c r="G52" s="30"/>
      <c r="H52" s="28"/>
      <c r="I52" s="17" t="str">
        <f aca="false">IF(COUNTA(A52:H52)=0,"",IFERROR(IF(A52="","ENTER MARKET DATE",IF(NOT(ISNUMBER(A52)),"ENTER A VALID DATE",IF(B52="","ENTER MARKET NAME",IF(NOT(ISTEXT(B52)),"ENTER MARKET NAME AS TEXT",IF(COUNTIFS($A$5:$A$54,A52,$B$5:$B$54,B52)&gt;1,"REMOVE DUPLICATE MARKET DAY",IF(OR(NOT(ISNUMBER(C52)),C52&lt;0),"ENTER BOOTH FEE AS 0 OR MORE",IF(OR(NOT(ISNUMBER(D52)),D52&lt;0),"ENTER TRAVEL COST AS 0 OR MORE",IF(OR(NOT(ISNUMBER(E52)),E52&lt;=0),"ENTER MARKET HOURS ABOVE 0",IF(OR(NOT(ISNUMBER(F52)),F52&lt;0),"ENTER SALES AS 0 OR MORE",IF(AND(G52&lt;&gt;"",OR(NOT(ISNUMBER(G52)),G52&lt;0,G52&lt;&gt;INT(G52))),"ENTER TRANSACTIONS AS A WHOLE NUMBER","READY")))))))))),"FIX INVALID MARKET ENTRY"))</f>
        <v/>
      </c>
    </row>
    <row r="53" customFormat="false" ht="22" hidden="false" customHeight="true" outlineLevel="0" collapsed="false">
      <c r="A53" s="27"/>
      <c r="B53" s="28"/>
      <c r="C53" s="19"/>
      <c r="D53" s="19"/>
      <c r="E53" s="29"/>
      <c r="F53" s="19"/>
      <c r="G53" s="30"/>
      <c r="H53" s="28"/>
      <c r="I53" s="17" t="str">
        <f aca="false">IF(COUNTA(A53:H53)=0,"",IFERROR(IF(A53="","ENTER MARKET DATE",IF(NOT(ISNUMBER(A53)),"ENTER A VALID DATE",IF(B53="","ENTER MARKET NAME",IF(NOT(ISTEXT(B53)),"ENTER MARKET NAME AS TEXT",IF(COUNTIFS($A$5:$A$54,A53,$B$5:$B$54,B53)&gt;1,"REMOVE DUPLICATE MARKET DAY",IF(OR(NOT(ISNUMBER(C53)),C53&lt;0),"ENTER BOOTH FEE AS 0 OR MORE",IF(OR(NOT(ISNUMBER(D53)),D53&lt;0),"ENTER TRAVEL COST AS 0 OR MORE",IF(OR(NOT(ISNUMBER(E53)),E53&lt;=0),"ENTER MARKET HOURS ABOVE 0",IF(OR(NOT(ISNUMBER(F53)),F53&lt;0),"ENTER SALES AS 0 OR MORE",IF(AND(G53&lt;&gt;"",OR(NOT(ISNUMBER(G53)),G53&lt;0,G53&lt;&gt;INT(G53))),"ENTER TRANSACTIONS AS A WHOLE NUMBER","READY")))))))))),"FIX INVALID MARKET ENTRY"))</f>
        <v/>
      </c>
    </row>
    <row r="54" customFormat="false" ht="22" hidden="false" customHeight="true" outlineLevel="0" collapsed="false">
      <c r="A54" s="27"/>
      <c r="B54" s="28"/>
      <c r="C54" s="19"/>
      <c r="D54" s="19"/>
      <c r="E54" s="29"/>
      <c r="F54" s="19"/>
      <c r="G54" s="30"/>
      <c r="H54" s="28"/>
      <c r="I54" s="17" t="str">
        <f aca="false">IF(COUNTA(A54:H54)=0,"",IFERROR(IF(A54="","ENTER MARKET DATE",IF(NOT(ISNUMBER(A54)),"ENTER A VALID DATE",IF(B54="","ENTER MARKET NAME",IF(NOT(ISTEXT(B54)),"ENTER MARKET NAME AS TEXT",IF(COUNTIFS($A$5:$A$54,A54,$B$5:$B$54,B54)&gt;1,"REMOVE DUPLICATE MARKET DAY",IF(OR(NOT(ISNUMBER(C54)),C54&lt;0),"ENTER BOOTH FEE AS 0 OR MORE",IF(OR(NOT(ISNUMBER(D54)),D54&lt;0),"ENTER TRAVEL COST AS 0 OR MORE",IF(OR(NOT(ISNUMBER(E54)),E54&lt;=0),"ENTER MARKET HOURS ABOVE 0",IF(OR(NOT(ISNUMBER(F54)),F54&lt;0),"ENTER SALES AS 0 OR MORE",IF(AND(G54&lt;&gt;"",OR(NOT(ISNUMBER(G54)),G54&lt;0,G54&lt;&gt;INT(G54))),"ENTER TRANSACTIONS AS A WHOLE NUMBER","READY")))))))))),"FIX INVALID MARKET ENTRY"))</f>
        <v/>
      </c>
    </row>
  </sheetData>
  <mergeCells count="2">
    <mergeCell ref="A1:I1"/>
    <mergeCell ref="A2:I2"/>
  </mergeCells>
  <conditionalFormatting sqref="I5:I54">
    <cfRule type="expression" priority="2" aboveAverage="0" equalAverage="0" bottom="0" percent="0" rank="0" text="" dxfId="1">
      <formula>I5="READY"</formula>
    </cfRule>
  </conditionalFormatting>
  <dataValidations count="4">
    <dataValidation allowBlank="false" errorStyle="stop" operator="greaterThanOrEqual" showDropDown="false" showErrorMessage="false" showInputMessage="false" sqref="C5:D54" type="decimal">
      <formula1>0</formula1>
      <formula2>0</formula2>
    </dataValidation>
    <dataValidation allowBlank="false" errorStyle="stop" operator="greaterThan" showDropDown="false" showErrorMessage="false" showInputMessage="false" sqref="E5:E54" type="decimal">
      <formula1>0</formula1>
      <formula2>0</formula2>
    </dataValidation>
    <dataValidation allowBlank="false" errorStyle="stop" operator="greaterThanOrEqual" showDropDown="false" showErrorMessage="false" showInputMessage="false" sqref="F5:F54" type="decimal">
      <formula1>0</formula1>
      <formula2>0</formula2>
    </dataValidation>
    <dataValidation allowBlank="false" errorStyle="stop" operator="greaterThanOrEqual" showDropDown="false" showErrorMessage="false" showInputMessage="false" sqref="G5:G54" type="whol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22"/>
    <col collapsed="false" customWidth="true" hidden="false" outlineLevel="0" max="8" min="4" style="0" width="15"/>
    <col collapsed="false" customWidth="true" hidden="false" outlineLevel="0" max="10" min="9" style="0" width="23"/>
    <col collapsed="false" customWidth="true" hidden="false" outlineLevel="0" max="16" min="11" style="0" width="24"/>
    <col collapsed="false" customWidth="true" hidden="false" outlineLevel="0" max="17" min="17" style="0" width="19"/>
    <col collapsed="false" customWidth="true" hidden="false" outlineLevel="0" max="18" min="18" style="0" width="31"/>
  </cols>
  <sheetData>
    <row r="1" customFormat="false" ht="36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1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8" hidden="false" customHeight="true" outlineLevel="0" collapsed="false">
      <c r="A3" s="2" t="s">
        <v>77</v>
      </c>
    </row>
    <row r="4" customFormat="false" ht="34" hidden="false" customHeight="true" outlineLevel="0" collapsed="false">
      <c r="A4" s="12" t="s">
        <v>29</v>
      </c>
      <c r="B4" s="12" t="s">
        <v>30</v>
      </c>
      <c r="C4" s="12" t="s">
        <v>43</v>
      </c>
      <c r="D4" s="12" t="s">
        <v>44</v>
      </c>
      <c r="E4" s="12" t="s">
        <v>45</v>
      </c>
      <c r="F4" s="12" t="s">
        <v>46</v>
      </c>
      <c r="G4" s="12" t="s">
        <v>47</v>
      </c>
      <c r="H4" s="12" t="s">
        <v>48</v>
      </c>
      <c r="I4" s="12" t="s">
        <v>49</v>
      </c>
      <c r="J4" s="12" t="s">
        <v>50</v>
      </c>
      <c r="K4" s="12" t="s">
        <v>51</v>
      </c>
      <c r="L4" s="12" t="s">
        <v>52</v>
      </c>
      <c r="M4" s="12" t="s">
        <v>53</v>
      </c>
      <c r="N4" s="12" t="s">
        <v>54</v>
      </c>
      <c r="O4" s="12" t="s">
        <v>55</v>
      </c>
      <c r="P4" s="12" t="s">
        <v>56</v>
      </c>
      <c r="Q4" s="12" t="s">
        <v>57</v>
      </c>
      <c r="R4" s="21" t="s">
        <v>20</v>
      </c>
    </row>
    <row r="5" customFormat="false" ht="22" hidden="false" customHeight="true" outlineLevel="0" collapsed="false">
      <c r="A5" s="22" t="n">
        <v>46250</v>
      </c>
      <c r="B5" s="23" t="s">
        <v>37</v>
      </c>
      <c r="C5" s="23" t="s">
        <v>58</v>
      </c>
      <c r="D5" s="23" t="n">
        <v>36</v>
      </c>
      <c r="E5" s="23" t="n">
        <v>29</v>
      </c>
      <c r="F5" s="24" t="n">
        <v>232</v>
      </c>
      <c r="G5" s="24" t="n">
        <v>48</v>
      </c>
      <c r="H5" s="24" t="n">
        <v>18</v>
      </c>
      <c r="I5" s="25" t="n">
        <v>3.5</v>
      </c>
      <c r="J5" s="24" t="n">
        <v>20</v>
      </c>
      <c r="K5" s="31" t="n">
        <f aca="false">IF(R5&lt;&gt;"READY","",IFERROR(ROUND((ROUND(SUMIFS('Market Days'!$C$5:$C$54,'Market Days'!$A$5:$A$54,A5,'Market Days'!$B$5:$B$54,B5,'Market Days'!$I$5:$I$54,"READY"),2)+ROUND(SUMIFS('Market Days'!$D$5:$D$54,'Market Days'!$A$5:$A$54,A5,'Market Days'!$B$5:$B$54,B5,'Market Days'!$I$5:$I$54,"READY"),2))/COUNTIFS($A$5:$A$104,A5,$B$5:$B$104,B5,$R$5:$R$104,"READY"),2),""))</f>
        <v>49.5</v>
      </c>
      <c r="L5" s="31" t="n">
        <f aca="false">IF(R5&lt;&gt;"READY","",IFERROR(ROUND(ROUND(G5,2)+ROUND(H5,2)+ROUND(I5*ROUND(J5,2),2)+K5,2),""))</f>
        <v>185.5</v>
      </c>
      <c r="M5" s="31" t="n">
        <f aca="false">IF(R5&lt;&gt;"READY","",IFERROR(ROUND(ROUND(F5,2)-L5,2),""))</f>
        <v>46.5</v>
      </c>
      <c r="N5" s="32" t="n">
        <f aca="false">IF(R5&lt;&gt;"READY","",IFERROR(IF(ROUND(F5,2)=0,"",M5/ROUND(F5,2)),""))</f>
        <v>0.200431034482759</v>
      </c>
      <c r="O5" s="32" t="n">
        <f aca="false">IF(R5&lt;&gt;"READY","",IFERROR(E5/D5,""))</f>
        <v>0.805555555555556</v>
      </c>
      <c r="P5" s="31" t="n">
        <f aca="false">IF(R5&lt;&gt;"READY","",IFERROR(IF(I5=0,"",M5/I5),""))</f>
        <v>13.2857142857143</v>
      </c>
      <c r="Q5" s="33" t="str">
        <f aca="false">IF(COUNTA(A5:J5)=0,"",IF(OR(R5&lt;&gt;"READY",COUNTIF(Targets!$D$5:$D$7,"READY")&lt;&gt;3),"NEEDS REVIEW",IFERROR(IF(AND(N5&lt;&gt;"",P5&lt;&gt;"",O5&lt;&gt;"",ROUND(N5,3)&gt;=ROUND(Targets!$B$5,3),ROUND(P5,2)&gt;=ROUND(Targets!$B$6,2),ROUND(O5,3)&gt;=ROUND(Targets!$B$7,3)),"MEETS TARGETS","REVIEW"),"REVIEW")))</f>
        <v>REVIEW</v>
      </c>
      <c r="R5" s="17" t="str">
        <f aca="false">IF(COUNTA(A5:J5)=0,"",IFERROR(IF(A5="","ENTER MARKET DATE",IF(NOT(ISNUMBER(A5)),"ENTER A VALID DATE",IF(B5="","ENTER MARKET NAME",IF(C5="","ENTER PRODUCT BATCH",IF(COUNTIFS($A$5:$A$104,A5,$B$5:$B$104,B5,$C$5:$C$104,C5)&gt;1,"REMOVE DUPLICATE PRODUCT ROW",IF(OR(NOT(ISNUMBER(D5)),D5&lt;=0,D5&lt;&gt;INT(D5)),"ENTER UNITS BROUGHT AS A POSITIVE WHOLE NUMBER",IF(OR(NOT(ISNUMBER(E5)),E5&lt;0,E5&lt;&gt;INT(E5),E5&gt;D5),"CHECK WHOLE UNITS SOLD",IF(OR(NOT(ISNUMBER(F5)),F5&lt;0),"ENTER SALES AS 0 OR MORE",IF(OR(NOT(ISNUMBER(G5)),G5&lt;0),"ENTER INGREDIENT COST AS 0 OR MORE",IF(OR(NOT(ISNUMBER(H5)),H5&lt;0),"ENTER PACKAGING COST AS 0 OR MORE",IF(OR(NOT(ISNUMBER(I5)),I5&lt;0),"ENTER PRODUCT WORK HOURS AS 0 OR MORE",IF(OR(NOT(ISNUMBER(J5)),J5&lt;0),"ENTER TIME VALUE AS 0 OR MORE",IF(COUNTIFS('Market Days'!$A$5:$A$54,A5,'Market Days'!$B$5:$B$54,B5,'Market Days'!$I$5:$I$54,"READY")&lt;&gt;1,"FIX OR ADD MATCHING MARKET DAY","READY"))))))))))))),"FIX INVALID PRODUCT ENTRY"))</f>
        <v>READY</v>
      </c>
    </row>
    <row r="6" customFormat="false" ht="22" hidden="false" customHeight="true" outlineLevel="0" collapsed="false">
      <c r="A6" s="27" t="n">
        <v>46250</v>
      </c>
      <c r="B6" s="28" t="s">
        <v>37</v>
      </c>
      <c r="C6" s="28" t="s">
        <v>59</v>
      </c>
      <c r="D6" s="28" t="n">
        <v>24</v>
      </c>
      <c r="E6" s="28" t="n">
        <v>17</v>
      </c>
      <c r="F6" s="19" t="n">
        <v>255</v>
      </c>
      <c r="G6" s="19" t="n">
        <v>72</v>
      </c>
      <c r="H6" s="19" t="n">
        <v>21</v>
      </c>
      <c r="I6" s="29" t="n">
        <v>2.5</v>
      </c>
      <c r="J6" s="19" t="n">
        <v>20</v>
      </c>
      <c r="K6" s="34" t="n">
        <f aca="false">IF(R6&lt;&gt;"READY","",IFERROR(ROUND((ROUND(SUMIFS('Market Days'!$C$5:$C$54,'Market Days'!$A$5:$A$54,A6,'Market Days'!$B$5:$B$54,B6,'Market Days'!$I$5:$I$54,"READY"),2)+ROUND(SUMIFS('Market Days'!$D$5:$D$54,'Market Days'!$A$5:$A$54,A6,'Market Days'!$B$5:$B$54,B6,'Market Days'!$I$5:$I$54,"READY"),2))/COUNTIFS($A$5:$A$104,A6,$B$5:$B$104,B6,$R$5:$R$104,"READY"),2),""))</f>
        <v>49.5</v>
      </c>
      <c r="L6" s="34" t="n">
        <f aca="false">IF(R6&lt;&gt;"READY","",IFERROR(ROUND(ROUND(G6,2)+ROUND(H6,2)+ROUND(I6*ROUND(J6,2),2)+K6,2),""))</f>
        <v>192.5</v>
      </c>
      <c r="M6" s="34" t="n">
        <f aca="false">IF(R6&lt;&gt;"READY","",IFERROR(ROUND(ROUND(F6,2)-L6,2),""))</f>
        <v>62.5</v>
      </c>
      <c r="N6" s="35" t="n">
        <f aca="false">IF(R6&lt;&gt;"READY","",IFERROR(IF(ROUND(F6,2)=0,"",M6/ROUND(F6,2)),""))</f>
        <v>0.245098039215686</v>
      </c>
      <c r="O6" s="35" t="n">
        <f aca="false">IF(R6&lt;&gt;"READY","",IFERROR(E6/D6,""))</f>
        <v>0.708333333333333</v>
      </c>
      <c r="P6" s="34" t="n">
        <f aca="false">IF(R6&lt;&gt;"READY","",IFERROR(IF(I6=0,"",M6/I6),""))</f>
        <v>25</v>
      </c>
      <c r="Q6" s="36" t="str">
        <f aca="false">IF(COUNTA(A6:J6)=0,"",IF(OR(R6&lt;&gt;"READY",COUNTIF(Targets!$D$5:$D$7,"READY")&lt;&gt;3),"NEEDS REVIEW",IFERROR(IF(AND(N6&lt;&gt;"",P6&lt;&gt;"",O6&lt;&gt;"",ROUND(N6,3)&gt;=ROUND(Targets!$B$5,3),ROUND(P6,2)&gt;=ROUND(Targets!$B$6,2),ROUND(O6,3)&gt;=ROUND(Targets!$B$7,3)),"MEETS TARGETS","REVIEW"),"REVIEW")))</f>
        <v>REVIEW</v>
      </c>
      <c r="R6" s="17" t="str">
        <f aca="false">IF(COUNTA(A6:J6)=0,"",IFERROR(IF(A6="","ENTER MARKET DATE",IF(NOT(ISNUMBER(A6)),"ENTER A VALID DATE",IF(B6="","ENTER MARKET NAME",IF(C6="","ENTER PRODUCT BATCH",IF(COUNTIFS($A$5:$A$104,A6,$B$5:$B$104,B6,$C$5:$C$104,C6)&gt;1,"REMOVE DUPLICATE PRODUCT ROW",IF(OR(NOT(ISNUMBER(D6)),D6&lt;=0,D6&lt;&gt;INT(D6)),"ENTER UNITS BROUGHT AS A POSITIVE WHOLE NUMBER",IF(OR(NOT(ISNUMBER(E6)),E6&lt;0,E6&lt;&gt;INT(E6),E6&gt;D6),"CHECK WHOLE UNITS SOLD",IF(OR(NOT(ISNUMBER(F6)),F6&lt;0),"ENTER SALES AS 0 OR MORE",IF(OR(NOT(ISNUMBER(G6)),G6&lt;0),"ENTER INGREDIENT COST AS 0 OR MORE",IF(OR(NOT(ISNUMBER(H6)),H6&lt;0),"ENTER PACKAGING COST AS 0 OR MORE",IF(OR(NOT(ISNUMBER(I6)),I6&lt;0),"ENTER PRODUCT WORK HOURS AS 0 OR MORE",IF(OR(NOT(ISNUMBER(J6)),J6&lt;0),"ENTER TIME VALUE AS 0 OR MORE",IF(COUNTIFS('Market Days'!$A$5:$A$54,A6,'Market Days'!$B$5:$B$54,B6,'Market Days'!$I$5:$I$54,"READY")&lt;&gt;1,"FIX OR ADD MATCHING MARKET DAY","READY"))))))))))))),"FIX INVALID PRODUCT ENTRY"))</f>
        <v>READY</v>
      </c>
    </row>
    <row r="7" customFormat="false" ht="22" hidden="false" customHeight="true" outlineLevel="0" collapsed="false">
      <c r="A7" s="27" t="n">
        <v>46257</v>
      </c>
      <c r="B7" s="28" t="s">
        <v>39</v>
      </c>
      <c r="C7" s="28" t="s">
        <v>60</v>
      </c>
      <c r="D7" s="28" t="n">
        <v>30</v>
      </c>
      <c r="E7" s="28" t="n">
        <v>26</v>
      </c>
      <c r="F7" s="19" t="n">
        <v>208</v>
      </c>
      <c r="G7" s="19" t="n">
        <v>40</v>
      </c>
      <c r="H7" s="19" t="n">
        <v>15</v>
      </c>
      <c r="I7" s="29" t="n">
        <v>3</v>
      </c>
      <c r="J7" s="19" t="n">
        <v>20</v>
      </c>
      <c r="K7" s="34" t="n">
        <f aca="false">IF(R7&lt;&gt;"READY","",IFERROR(ROUND((ROUND(SUMIFS('Market Days'!$C$5:$C$54,'Market Days'!$A$5:$A$54,A7,'Market Days'!$B$5:$B$54,B7,'Market Days'!$I$5:$I$54,"READY"),2)+ROUND(SUMIFS('Market Days'!$D$5:$D$54,'Market Days'!$A$5:$A$54,A7,'Market Days'!$B$5:$B$54,B7,'Market Days'!$I$5:$I$54,"READY"),2))/COUNTIFS($A$5:$A$104,A7,$B$5:$B$104,B7,$R$5:$R$104,"READY"),2),""))</f>
        <v>31.5</v>
      </c>
      <c r="L7" s="34" t="n">
        <f aca="false">IF(R7&lt;&gt;"READY","",IFERROR(ROUND(ROUND(G7,2)+ROUND(H7,2)+ROUND(I7*ROUND(J7,2),2)+K7,2),""))</f>
        <v>146.5</v>
      </c>
      <c r="M7" s="34" t="n">
        <f aca="false">IF(R7&lt;&gt;"READY","",IFERROR(ROUND(ROUND(F7,2)-L7,2),""))</f>
        <v>61.5</v>
      </c>
      <c r="N7" s="35" t="n">
        <f aca="false">IF(R7&lt;&gt;"READY","",IFERROR(IF(ROUND(F7,2)=0,"",M7/ROUND(F7,2)),""))</f>
        <v>0.295673076923077</v>
      </c>
      <c r="O7" s="35" t="n">
        <f aca="false">IF(R7&lt;&gt;"READY","",IFERROR(E7/D7,""))</f>
        <v>0.866666666666667</v>
      </c>
      <c r="P7" s="34" t="n">
        <f aca="false">IF(R7&lt;&gt;"READY","",IFERROR(IF(I7=0,"",M7/I7),""))</f>
        <v>20.5</v>
      </c>
      <c r="Q7" s="36" t="str">
        <f aca="false">IF(COUNTA(A7:J7)=0,"",IF(OR(R7&lt;&gt;"READY",COUNTIF(Targets!$D$5:$D$7,"READY")&lt;&gt;3),"NEEDS REVIEW",IFERROR(IF(AND(N7&lt;&gt;"",P7&lt;&gt;"",O7&lt;&gt;"",ROUND(N7,3)&gt;=ROUND(Targets!$B$5,3),ROUND(P7,2)&gt;=ROUND(Targets!$B$6,2),ROUND(O7,3)&gt;=ROUND(Targets!$B$7,3)),"MEETS TARGETS","REVIEW"),"REVIEW")))</f>
        <v>REVIEW</v>
      </c>
      <c r="R7" s="17" t="str">
        <f aca="false">IF(COUNTA(A7:J7)=0,"",IFERROR(IF(A7="","ENTER MARKET DATE",IF(NOT(ISNUMBER(A7)),"ENTER A VALID DATE",IF(B7="","ENTER MARKET NAME",IF(C7="","ENTER PRODUCT BATCH",IF(COUNTIFS($A$5:$A$104,A7,$B$5:$B$104,B7,$C$5:$C$104,C7)&gt;1,"REMOVE DUPLICATE PRODUCT ROW",IF(OR(NOT(ISNUMBER(D7)),D7&lt;=0,D7&lt;&gt;INT(D7)),"ENTER UNITS BROUGHT AS A POSITIVE WHOLE NUMBER",IF(OR(NOT(ISNUMBER(E7)),E7&lt;0,E7&lt;&gt;INT(E7),E7&gt;D7),"CHECK WHOLE UNITS SOLD",IF(OR(NOT(ISNUMBER(F7)),F7&lt;0),"ENTER SALES AS 0 OR MORE",IF(OR(NOT(ISNUMBER(G7)),G7&lt;0),"ENTER INGREDIENT COST AS 0 OR MORE",IF(OR(NOT(ISNUMBER(H7)),H7&lt;0),"ENTER PACKAGING COST AS 0 OR MORE",IF(OR(NOT(ISNUMBER(I7)),I7&lt;0),"ENTER PRODUCT WORK HOURS AS 0 OR MORE",IF(OR(NOT(ISNUMBER(J7)),J7&lt;0),"ENTER TIME VALUE AS 0 OR MORE",IF(COUNTIFS('Market Days'!$A$5:$A$54,A7,'Market Days'!$B$5:$B$54,B7,'Market Days'!$I$5:$I$54,"READY")&lt;&gt;1,"FIX OR ADD MATCHING MARKET DAY","READY"))))))))))))),"FIX INVALID PRODUCT ENTRY"))</f>
        <v>READY</v>
      </c>
    </row>
    <row r="8" customFormat="false" ht="22" hidden="false" customHeight="true" outlineLevel="0" collapsed="false">
      <c r="A8" s="27" t="n">
        <v>46257</v>
      </c>
      <c r="B8" s="28" t="s">
        <v>39</v>
      </c>
      <c r="C8" s="28" t="s">
        <v>61</v>
      </c>
      <c r="D8" s="28" t="n">
        <v>20</v>
      </c>
      <c r="E8" s="28" t="n">
        <v>18</v>
      </c>
      <c r="F8" s="19" t="n">
        <v>270</v>
      </c>
      <c r="G8" s="19" t="n">
        <v>60</v>
      </c>
      <c r="H8" s="19" t="n">
        <v>18</v>
      </c>
      <c r="I8" s="29" t="n">
        <v>2</v>
      </c>
      <c r="J8" s="19" t="n">
        <v>20</v>
      </c>
      <c r="K8" s="34" t="n">
        <f aca="false">IF(R8&lt;&gt;"READY","",IFERROR(ROUND((ROUND(SUMIFS('Market Days'!$C$5:$C$54,'Market Days'!$A$5:$A$54,A8,'Market Days'!$B$5:$B$54,B8,'Market Days'!$I$5:$I$54,"READY"),2)+ROUND(SUMIFS('Market Days'!$D$5:$D$54,'Market Days'!$A$5:$A$54,A8,'Market Days'!$B$5:$B$54,B8,'Market Days'!$I$5:$I$54,"READY"),2))/COUNTIFS($A$5:$A$104,A8,$B$5:$B$104,B8,$R$5:$R$104,"READY"),2),""))</f>
        <v>31.5</v>
      </c>
      <c r="L8" s="34" t="n">
        <f aca="false">IF(R8&lt;&gt;"READY","",IFERROR(ROUND(ROUND(G8,2)+ROUND(H8,2)+ROUND(I8*ROUND(J8,2),2)+K8,2),""))</f>
        <v>149.5</v>
      </c>
      <c r="M8" s="34" t="n">
        <f aca="false">IF(R8&lt;&gt;"READY","",IFERROR(ROUND(ROUND(F8,2)-L8,2),""))</f>
        <v>120.5</v>
      </c>
      <c r="N8" s="35" t="n">
        <f aca="false">IF(R8&lt;&gt;"READY","",IFERROR(IF(ROUND(F8,2)=0,"",M8/ROUND(F8,2)),""))</f>
        <v>0.446296296296296</v>
      </c>
      <c r="O8" s="35" t="n">
        <f aca="false">IF(R8&lt;&gt;"READY","",IFERROR(E8/D8,""))</f>
        <v>0.9</v>
      </c>
      <c r="P8" s="34" t="n">
        <f aca="false">IF(R8&lt;&gt;"READY","",IFERROR(IF(I8=0,"",M8/I8),""))</f>
        <v>60.25</v>
      </c>
      <c r="Q8" s="36" t="str">
        <f aca="false">IF(COUNTA(A8:J8)=0,"",IF(OR(R8&lt;&gt;"READY",COUNTIF(Targets!$D$5:$D$7,"READY")&lt;&gt;3),"NEEDS REVIEW",IFERROR(IF(AND(N8&lt;&gt;"",P8&lt;&gt;"",O8&lt;&gt;"",ROUND(N8,3)&gt;=ROUND(Targets!$B$5,3),ROUND(P8,2)&gt;=ROUND(Targets!$B$6,2),ROUND(O8,3)&gt;=ROUND(Targets!$B$7,3)),"MEETS TARGETS","REVIEW"),"REVIEW")))</f>
        <v>MEETS TARGETS</v>
      </c>
      <c r="R8" s="17" t="str">
        <f aca="false">IF(COUNTA(A8:J8)=0,"",IFERROR(IF(A8="","ENTER MARKET DATE",IF(NOT(ISNUMBER(A8)),"ENTER A VALID DATE",IF(B8="","ENTER MARKET NAME",IF(C8="","ENTER PRODUCT BATCH",IF(COUNTIFS($A$5:$A$104,A8,$B$5:$B$104,B8,$C$5:$C$104,C8)&gt;1,"REMOVE DUPLICATE PRODUCT ROW",IF(OR(NOT(ISNUMBER(D8)),D8&lt;=0,D8&lt;&gt;INT(D8)),"ENTER UNITS BROUGHT AS A POSITIVE WHOLE NUMBER",IF(OR(NOT(ISNUMBER(E8)),E8&lt;0,E8&lt;&gt;INT(E8),E8&gt;D8),"CHECK WHOLE UNITS SOLD",IF(OR(NOT(ISNUMBER(F8)),F8&lt;0),"ENTER SALES AS 0 OR MORE",IF(OR(NOT(ISNUMBER(G8)),G8&lt;0),"ENTER INGREDIENT COST AS 0 OR MORE",IF(OR(NOT(ISNUMBER(H8)),H8&lt;0),"ENTER PACKAGING COST AS 0 OR MORE",IF(OR(NOT(ISNUMBER(I8)),I8&lt;0),"ENTER PRODUCT WORK HOURS AS 0 OR MORE",IF(OR(NOT(ISNUMBER(J8)),J8&lt;0),"ENTER TIME VALUE AS 0 OR MORE",IF(COUNTIFS('Market Days'!$A$5:$A$54,A8,'Market Days'!$B$5:$B$54,B8,'Market Days'!$I$5:$I$54,"READY")&lt;&gt;1,"FIX OR ADD MATCHING MARKET DAY","READY"))))))))))))),"FIX INVALID PRODUCT ENTRY"))</f>
        <v>READY</v>
      </c>
    </row>
    <row r="9" customFormat="false" ht="22" hidden="false" customHeight="true" outlineLevel="0" collapsed="false">
      <c r="A9" s="27" t="n">
        <v>46264</v>
      </c>
      <c r="B9" s="28" t="s">
        <v>40</v>
      </c>
      <c r="C9" s="28" t="s">
        <v>62</v>
      </c>
      <c r="D9" s="28" t="n">
        <v>40</v>
      </c>
      <c r="E9" s="28" t="n">
        <v>28</v>
      </c>
      <c r="F9" s="19" t="n">
        <v>224</v>
      </c>
      <c r="G9" s="19" t="n">
        <v>54</v>
      </c>
      <c r="H9" s="19" t="n">
        <v>20</v>
      </c>
      <c r="I9" s="29" t="n">
        <v>4</v>
      </c>
      <c r="J9" s="19" t="n">
        <v>20</v>
      </c>
      <c r="K9" s="34" t="n">
        <f aca="false">IF(R9&lt;&gt;"READY","",IFERROR(ROUND((ROUND(SUMIFS('Market Days'!$C$5:$C$54,'Market Days'!$A$5:$A$54,A9,'Market Days'!$B$5:$B$54,B9,'Market Days'!$I$5:$I$54,"READY"),2)+ROUND(SUMIFS('Market Days'!$D$5:$D$54,'Market Days'!$A$5:$A$54,A9,'Market Days'!$B$5:$B$54,B9,'Market Days'!$I$5:$I$54,"READY"),2))/COUNTIFS($A$5:$A$104,A9,$B$5:$B$104,B9,$R$5:$R$104,"READY"),2),""))</f>
        <v>70</v>
      </c>
      <c r="L9" s="34" t="n">
        <f aca="false">IF(R9&lt;&gt;"READY","",IFERROR(ROUND(ROUND(G9,2)+ROUND(H9,2)+ROUND(I9*ROUND(J9,2),2)+K9,2),""))</f>
        <v>224</v>
      </c>
      <c r="M9" s="34" t="n">
        <f aca="false">IF(R9&lt;&gt;"READY","",IFERROR(ROUND(ROUND(F9,2)-L9,2),""))</f>
        <v>0</v>
      </c>
      <c r="N9" s="35" t="n">
        <f aca="false">IF(R9&lt;&gt;"READY","",IFERROR(IF(ROUND(F9,2)=0,"",M9/ROUND(F9,2)),""))</f>
        <v>0</v>
      </c>
      <c r="O9" s="35" t="n">
        <f aca="false">IF(R9&lt;&gt;"READY","",IFERROR(E9/D9,""))</f>
        <v>0.7</v>
      </c>
      <c r="P9" s="34" t="n">
        <f aca="false">IF(R9&lt;&gt;"READY","",IFERROR(IF(I9=0,"",M9/I9),""))</f>
        <v>0</v>
      </c>
      <c r="Q9" s="36" t="str">
        <f aca="false">IF(COUNTA(A9:J9)=0,"",IF(OR(R9&lt;&gt;"READY",COUNTIF(Targets!$D$5:$D$7,"READY")&lt;&gt;3),"NEEDS REVIEW",IFERROR(IF(AND(N9&lt;&gt;"",P9&lt;&gt;"",O9&lt;&gt;"",ROUND(N9,3)&gt;=ROUND(Targets!$B$5,3),ROUND(P9,2)&gt;=ROUND(Targets!$B$6,2),ROUND(O9,3)&gt;=ROUND(Targets!$B$7,3)),"MEETS TARGETS","REVIEW"),"REVIEW")))</f>
        <v>REVIEW</v>
      </c>
      <c r="R9" s="17" t="str">
        <f aca="false">IF(COUNTA(A9:J9)=0,"",IFERROR(IF(A9="","ENTER MARKET DATE",IF(NOT(ISNUMBER(A9)),"ENTER A VALID DATE",IF(B9="","ENTER MARKET NAME",IF(C9="","ENTER PRODUCT BATCH",IF(COUNTIFS($A$5:$A$104,A9,$B$5:$B$104,B9,$C$5:$C$104,C9)&gt;1,"REMOVE DUPLICATE PRODUCT ROW",IF(OR(NOT(ISNUMBER(D9)),D9&lt;=0,D9&lt;&gt;INT(D9)),"ENTER UNITS BROUGHT AS A POSITIVE WHOLE NUMBER",IF(OR(NOT(ISNUMBER(E9)),E9&lt;0,E9&lt;&gt;INT(E9),E9&gt;D9),"CHECK WHOLE UNITS SOLD",IF(OR(NOT(ISNUMBER(F9)),F9&lt;0),"ENTER SALES AS 0 OR MORE",IF(OR(NOT(ISNUMBER(G9)),G9&lt;0),"ENTER INGREDIENT COST AS 0 OR MORE",IF(OR(NOT(ISNUMBER(H9)),H9&lt;0),"ENTER PACKAGING COST AS 0 OR MORE",IF(OR(NOT(ISNUMBER(I9)),I9&lt;0),"ENTER PRODUCT WORK HOURS AS 0 OR MORE",IF(OR(NOT(ISNUMBER(J9)),J9&lt;0),"ENTER TIME VALUE AS 0 OR MORE",IF(COUNTIFS('Market Days'!$A$5:$A$54,A9,'Market Days'!$B$5:$B$54,B9,'Market Days'!$I$5:$I$54,"READY")&lt;&gt;1,"FIX OR ADD MATCHING MARKET DAY","READY"))))))))))))),"FIX INVALID PRODUCT ENTRY"))</f>
        <v>READY</v>
      </c>
    </row>
    <row r="10" customFormat="false" ht="22" hidden="false" customHeight="true" outlineLevel="0" collapsed="false">
      <c r="A10" s="27" t="n">
        <v>46264</v>
      </c>
      <c r="B10" s="28" t="s">
        <v>40</v>
      </c>
      <c r="C10" s="28" t="s">
        <v>63</v>
      </c>
      <c r="D10" s="28" t="n">
        <v>30</v>
      </c>
      <c r="E10" s="28" t="n">
        <v>19</v>
      </c>
      <c r="F10" s="19" t="n">
        <v>285</v>
      </c>
      <c r="G10" s="19" t="n">
        <v>80</v>
      </c>
      <c r="H10" s="19" t="n">
        <v>24</v>
      </c>
      <c r="I10" s="29" t="n">
        <v>3</v>
      </c>
      <c r="J10" s="19" t="n">
        <v>20</v>
      </c>
      <c r="K10" s="34" t="n">
        <f aca="false">IF(R10&lt;&gt;"READY","",IFERROR(ROUND((ROUND(SUMIFS('Market Days'!$C$5:$C$54,'Market Days'!$A$5:$A$54,A10,'Market Days'!$B$5:$B$54,B10,'Market Days'!$I$5:$I$54,"READY"),2)+ROUND(SUMIFS('Market Days'!$D$5:$D$54,'Market Days'!$A$5:$A$54,A10,'Market Days'!$B$5:$B$54,B10,'Market Days'!$I$5:$I$54,"READY"),2))/COUNTIFS($A$5:$A$104,A10,$B$5:$B$104,B10,$R$5:$R$104,"READY"),2),""))</f>
        <v>70</v>
      </c>
      <c r="L10" s="34" t="n">
        <f aca="false">IF(R10&lt;&gt;"READY","",IFERROR(ROUND(ROUND(G10,2)+ROUND(H10,2)+ROUND(I10*ROUND(J10,2),2)+K10,2),""))</f>
        <v>234</v>
      </c>
      <c r="M10" s="34" t="n">
        <f aca="false">IF(R10&lt;&gt;"READY","",IFERROR(ROUND(ROUND(F10,2)-L10,2),""))</f>
        <v>51</v>
      </c>
      <c r="N10" s="35" t="n">
        <f aca="false">IF(R10&lt;&gt;"READY","",IFERROR(IF(ROUND(F10,2)=0,"",M10/ROUND(F10,2)),""))</f>
        <v>0.178947368421053</v>
      </c>
      <c r="O10" s="35" t="n">
        <f aca="false">IF(R10&lt;&gt;"READY","",IFERROR(E10/D10,""))</f>
        <v>0.633333333333333</v>
      </c>
      <c r="P10" s="34" t="n">
        <f aca="false">IF(R10&lt;&gt;"READY","",IFERROR(IF(I10=0,"",M10/I10),""))</f>
        <v>17</v>
      </c>
      <c r="Q10" s="36" t="str">
        <f aca="false">IF(COUNTA(A10:J10)=0,"",IF(OR(R10&lt;&gt;"READY",COUNTIF(Targets!$D$5:$D$7,"READY")&lt;&gt;3),"NEEDS REVIEW",IFERROR(IF(AND(N10&lt;&gt;"",P10&lt;&gt;"",O10&lt;&gt;"",ROUND(N10,3)&gt;=ROUND(Targets!$B$5,3),ROUND(P10,2)&gt;=ROUND(Targets!$B$6,2),ROUND(O10,3)&gt;=ROUND(Targets!$B$7,3)),"MEETS TARGETS","REVIEW"),"REVIEW")))</f>
        <v>REVIEW</v>
      </c>
      <c r="R10" s="17" t="str">
        <f aca="false">IF(COUNTA(A10:J10)=0,"",IFERROR(IF(A10="","ENTER MARKET DATE",IF(NOT(ISNUMBER(A10)),"ENTER A VALID DATE",IF(B10="","ENTER MARKET NAME",IF(C10="","ENTER PRODUCT BATCH",IF(COUNTIFS($A$5:$A$104,A10,$B$5:$B$104,B10,$C$5:$C$104,C10)&gt;1,"REMOVE DUPLICATE PRODUCT ROW",IF(OR(NOT(ISNUMBER(D10)),D10&lt;=0,D10&lt;&gt;INT(D10)),"ENTER UNITS BROUGHT AS A POSITIVE WHOLE NUMBER",IF(OR(NOT(ISNUMBER(E10)),E10&lt;0,E10&lt;&gt;INT(E10),E10&gt;D10),"CHECK WHOLE UNITS SOLD",IF(OR(NOT(ISNUMBER(F10)),F10&lt;0),"ENTER SALES AS 0 OR MORE",IF(OR(NOT(ISNUMBER(G10)),G10&lt;0),"ENTER INGREDIENT COST AS 0 OR MORE",IF(OR(NOT(ISNUMBER(H10)),H10&lt;0),"ENTER PACKAGING COST AS 0 OR MORE",IF(OR(NOT(ISNUMBER(I10)),I10&lt;0),"ENTER PRODUCT WORK HOURS AS 0 OR MORE",IF(OR(NOT(ISNUMBER(J10)),J10&lt;0),"ENTER TIME VALUE AS 0 OR MORE",IF(COUNTIFS('Market Days'!$A$5:$A$54,A10,'Market Days'!$B$5:$B$54,B10,'Market Days'!$I$5:$I$54,"READY")&lt;&gt;1,"FIX OR ADD MATCHING MARKET DAY","READY"))))))))))))),"FIX INVALID PRODUCT ENTRY"))</f>
        <v>READY</v>
      </c>
    </row>
    <row r="11" customFormat="false" ht="22" hidden="false" customHeight="true" outlineLevel="0" collapsed="false">
      <c r="A11" s="27"/>
      <c r="B11" s="28"/>
      <c r="C11" s="28"/>
      <c r="D11" s="28"/>
      <c r="E11" s="28"/>
      <c r="F11" s="19"/>
      <c r="G11" s="19"/>
      <c r="H11" s="19"/>
      <c r="I11" s="29"/>
      <c r="J11" s="19"/>
      <c r="K11" s="34" t="str">
        <f aca="false">IF(R11&lt;&gt;"READY","",IFERROR(ROUND((ROUND(SUMIFS('Market Days'!$C$5:$C$54,'Market Days'!$A$5:$A$54,A11,'Market Days'!$B$5:$B$54,B11,'Market Days'!$I$5:$I$54,"READY"),2)+ROUND(SUMIFS('Market Days'!$D$5:$D$54,'Market Days'!$A$5:$A$54,A11,'Market Days'!$B$5:$B$54,B11,'Market Days'!$I$5:$I$54,"READY"),2))/COUNTIFS($A$5:$A$104,A11,$B$5:$B$104,B11,$R$5:$R$104,"READY"),2),""))</f>
        <v/>
      </c>
      <c r="L11" s="34" t="str">
        <f aca="false">IF(R11&lt;&gt;"READY","",IFERROR(ROUND(ROUND(G11,2)+ROUND(H11,2)+ROUND(I11*ROUND(J11,2),2)+K11,2),""))</f>
        <v/>
      </c>
      <c r="M11" s="34" t="str">
        <f aca="false">IF(R11&lt;&gt;"READY","",IFERROR(ROUND(ROUND(F11,2)-L11,2),""))</f>
        <v/>
      </c>
      <c r="N11" s="35" t="str">
        <f aca="false">IF(R11&lt;&gt;"READY","",IFERROR(IF(ROUND(F11,2)=0,"",M11/ROUND(F11,2)),""))</f>
        <v/>
      </c>
      <c r="O11" s="35" t="str">
        <f aca="false">IF(R11&lt;&gt;"READY","",IFERROR(E11/D11,""))</f>
        <v/>
      </c>
      <c r="P11" s="34" t="str">
        <f aca="false">IF(R11&lt;&gt;"READY","",IFERROR(IF(I11=0,"",M11/I11),""))</f>
        <v/>
      </c>
      <c r="Q11" s="36" t="str">
        <f aca="false">IF(COUNTA(A11:J11)=0,"",IF(OR(R11&lt;&gt;"READY",COUNTIF(Targets!$D$5:$D$7,"READY")&lt;&gt;3),"NEEDS REVIEW",IFERROR(IF(AND(N11&lt;&gt;"",P11&lt;&gt;"",O11&lt;&gt;"",ROUND(N11,3)&gt;=ROUND(Targets!$B$5,3),ROUND(P11,2)&gt;=ROUND(Targets!$B$6,2),ROUND(O11,3)&gt;=ROUND(Targets!$B$7,3)),"MEETS TARGETS","REVIEW"),"REVIEW")))</f>
        <v/>
      </c>
      <c r="R11" s="17" t="str">
        <f aca="false">IF(COUNTA(A11:J11)=0,"",IFERROR(IF(A11="","ENTER MARKET DATE",IF(NOT(ISNUMBER(A11)),"ENTER A VALID DATE",IF(B11="","ENTER MARKET NAME",IF(C11="","ENTER PRODUCT BATCH",IF(COUNTIFS($A$5:$A$104,A11,$B$5:$B$104,B11,$C$5:$C$104,C11)&gt;1,"REMOVE DUPLICATE PRODUCT ROW",IF(OR(NOT(ISNUMBER(D11)),D11&lt;=0,D11&lt;&gt;INT(D11)),"ENTER UNITS BROUGHT AS A POSITIVE WHOLE NUMBER",IF(OR(NOT(ISNUMBER(E11)),E11&lt;0,E11&lt;&gt;INT(E11),E11&gt;D11),"CHECK WHOLE UNITS SOLD",IF(OR(NOT(ISNUMBER(F11)),F11&lt;0),"ENTER SALES AS 0 OR MORE",IF(OR(NOT(ISNUMBER(G11)),G11&lt;0),"ENTER INGREDIENT COST AS 0 OR MORE",IF(OR(NOT(ISNUMBER(H11)),H11&lt;0),"ENTER PACKAGING COST AS 0 OR MORE",IF(OR(NOT(ISNUMBER(I11)),I11&lt;0),"ENTER PRODUCT WORK HOURS AS 0 OR MORE",IF(OR(NOT(ISNUMBER(J11)),J11&lt;0),"ENTER TIME VALUE AS 0 OR MORE",IF(COUNTIFS('Market Days'!$A$5:$A$54,A11,'Market Days'!$B$5:$B$54,B11,'Market Days'!$I$5:$I$54,"READY")&lt;&gt;1,"FIX OR ADD MATCHING MARKET DAY","READY"))))))))))))),"FIX INVALID PRODUCT ENTRY"))</f>
        <v/>
      </c>
    </row>
    <row r="12" customFormat="false" ht="22" hidden="false" customHeight="true" outlineLevel="0" collapsed="false">
      <c r="A12" s="27"/>
      <c r="B12" s="28"/>
      <c r="C12" s="28"/>
      <c r="D12" s="28"/>
      <c r="E12" s="28"/>
      <c r="F12" s="19"/>
      <c r="G12" s="19"/>
      <c r="H12" s="19"/>
      <c r="I12" s="29"/>
      <c r="J12" s="19"/>
      <c r="K12" s="34" t="str">
        <f aca="false">IF(R12&lt;&gt;"READY","",IFERROR(ROUND((ROUND(SUMIFS('Market Days'!$C$5:$C$54,'Market Days'!$A$5:$A$54,A12,'Market Days'!$B$5:$B$54,B12,'Market Days'!$I$5:$I$54,"READY"),2)+ROUND(SUMIFS('Market Days'!$D$5:$D$54,'Market Days'!$A$5:$A$54,A12,'Market Days'!$B$5:$B$54,B12,'Market Days'!$I$5:$I$54,"READY"),2))/COUNTIFS($A$5:$A$104,A12,$B$5:$B$104,B12,$R$5:$R$104,"READY"),2),""))</f>
        <v/>
      </c>
      <c r="L12" s="34" t="str">
        <f aca="false">IF(R12&lt;&gt;"READY","",IFERROR(ROUND(ROUND(G12,2)+ROUND(H12,2)+ROUND(I12*ROUND(J12,2),2)+K12,2),""))</f>
        <v/>
      </c>
      <c r="M12" s="34" t="str">
        <f aca="false">IF(R12&lt;&gt;"READY","",IFERROR(ROUND(ROUND(F12,2)-L12,2),""))</f>
        <v/>
      </c>
      <c r="N12" s="35" t="str">
        <f aca="false">IF(R12&lt;&gt;"READY","",IFERROR(IF(ROUND(F12,2)=0,"",M12/ROUND(F12,2)),""))</f>
        <v/>
      </c>
      <c r="O12" s="35" t="str">
        <f aca="false">IF(R12&lt;&gt;"READY","",IFERROR(E12/D12,""))</f>
        <v/>
      </c>
      <c r="P12" s="34" t="str">
        <f aca="false">IF(R12&lt;&gt;"READY","",IFERROR(IF(I12=0,"",M12/I12),""))</f>
        <v/>
      </c>
      <c r="Q12" s="36" t="str">
        <f aca="false">IF(COUNTA(A12:J12)=0,"",IF(OR(R12&lt;&gt;"READY",COUNTIF(Targets!$D$5:$D$7,"READY")&lt;&gt;3),"NEEDS REVIEW",IFERROR(IF(AND(N12&lt;&gt;"",P12&lt;&gt;"",O12&lt;&gt;"",ROUND(N12,3)&gt;=ROUND(Targets!$B$5,3),ROUND(P12,2)&gt;=ROUND(Targets!$B$6,2),ROUND(O12,3)&gt;=ROUND(Targets!$B$7,3)),"MEETS TARGETS","REVIEW"),"REVIEW")))</f>
        <v/>
      </c>
      <c r="R12" s="17" t="str">
        <f aca="false">IF(COUNTA(A12:J12)=0,"",IFERROR(IF(A12="","ENTER MARKET DATE",IF(NOT(ISNUMBER(A12)),"ENTER A VALID DATE",IF(B12="","ENTER MARKET NAME",IF(C12="","ENTER PRODUCT BATCH",IF(COUNTIFS($A$5:$A$104,A12,$B$5:$B$104,B12,$C$5:$C$104,C12)&gt;1,"REMOVE DUPLICATE PRODUCT ROW",IF(OR(NOT(ISNUMBER(D12)),D12&lt;=0,D12&lt;&gt;INT(D12)),"ENTER UNITS BROUGHT AS A POSITIVE WHOLE NUMBER",IF(OR(NOT(ISNUMBER(E12)),E12&lt;0,E12&lt;&gt;INT(E12),E12&gt;D12),"CHECK WHOLE UNITS SOLD",IF(OR(NOT(ISNUMBER(F12)),F12&lt;0),"ENTER SALES AS 0 OR MORE",IF(OR(NOT(ISNUMBER(G12)),G12&lt;0),"ENTER INGREDIENT COST AS 0 OR MORE",IF(OR(NOT(ISNUMBER(H12)),H12&lt;0),"ENTER PACKAGING COST AS 0 OR MORE",IF(OR(NOT(ISNUMBER(I12)),I12&lt;0),"ENTER PRODUCT WORK HOURS AS 0 OR MORE",IF(OR(NOT(ISNUMBER(J12)),J12&lt;0),"ENTER TIME VALUE AS 0 OR MORE",IF(COUNTIFS('Market Days'!$A$5:$A$54,A12,'Market Days'!$B$5:$B$54,B12,'Market Days'!$I$5:$I$54,"READY")&lt;&gt;1,"FIX OR ADD MATCHING MARKET DAY","READY"))))))))))))),"FIX INVALID PRODUCT ENTRY"))</f>
        <v/>
      </c>
    </row>
    <row r="13" customFormat="false" ht="22" hidden="false" customHeight="true" outlineLevel="0" collapsed="false">
      <c r="A13" s="27"/>
      <c r="B13" s="28"/>
      <c r="C13" s="28"/>
      <c r="D13" s="28"/>
      <c r="E13" s="28"/>
      <c r="F13" s="19"/>
      <c r="G13" s="19"/>
      <c r="H13" s="19"/>
      <c r="I13" s="29"/>
      <c r="J13" s="19"/>
      <c r="K13" s="34" t="str">
        <f aca="false">IF(R13&lt;&gt;"READY","",IFERROR(ROUND((ROUND(SUMIFS('Market Days'!$C$5:$C$54,'Market Days'!$A$5:$A$54,A13,'Market Days'!$B$5:$B$54,B13,'Market Days'!$I$5:$I$54,"READY"),2)+ROUND(SUMIFS('Market Days'!$D$5:$D$54,'Market Days'!$A$5:$A$54,A13,'Market Days'!$B$5:$B$54,B13,'Market Days'!$I$5:$I$54,"READY"),2))/COUNTIFS($A$5:$A$104,A13,$B$5:$B$104,B13,$R$5:$R$104,"READY"),2),""))</f>
        <v/>
      </c>
      <c r="L13" s="34" t="str">
        <f aca="false">IF(R13&lt;&gt;"READY","",IFERROR(ROUND(ROUND(G13,2)+ROUND(H13,2)+ROUND(I13*ROUND(J13,2),2)+K13,2),""))</f>
        <v/>
      </c>
      <c r="M13" s="34" t="str">
        <f aca="false">IF(R13&lt;&gt;"READY","",IFERROR(ROUND(ROUND(F13,2)-L13,2),""))</f>
        <v/>
      </c>
      <c r="N13" s="35" t="str">
        <f aca="false">IF(R13&lt;&gt;"READY","",IFERROR(IF(ROUND(F13,2)=0,"",M13/ROUND(F13,2)),""))</f>
        <v/>
      </c>
      <c r="O13" s="35" t="str">
        <f aca="false">IF(R13&lt;&gt;"READY","",IFERROR(E13/D13,""))</f>
        <v/>
      </c>
      <c r="P13" s="34" t="str">
        <f aca="false">IF(R13&lt;&gt;"READY","",IFERROR(IF(I13=0,"",M13/I13),""))</f>
        <v/>
      </c>
      <c r="Q13" s="36" t="str">
        <f aca="false">IF(COUNTA(A13:J13)=0,"",IF(OR(R13&lt;&gt;"READY",COUNTIF(Targets!$D$5:$D$7,"READY")&lt;&gt;3),"NEEDS REVIEW",IFERROR(IF(AND(N13&lt;&gt;"",P13&lt;&gt;"",O13&lt;&gt;"",ROUND(N13,3)&gt;=ROUND(Targets!$B$5,3),ROUND(P13,2)&gt;=ROUND(Targets!$B$6,2),ROUND(O13,3)&gt;=ROUND(Targets!$B$7,3)),"MEETS TARGETS","REVIEW"),"REVIEW")))</f>
        <v/>
      </c>
      <c r="R13" s="17" t="str">
        <f aca="false">IF(COUNTA(A13:J13)=0,"",IFERROR(IF(A13="","ENTER MARKET DATE",IF(NOT(ISNUMBER(A13)),"ENTER A VALID DATE",IF(B13="","ENTER MARKET NAME",IF(C13="","ENTER PRODUCT BATCH",IF(COUNTIFS($A$5:$A$104,A13,$B$5:$B$104,B13,$C$5:$C$104,C13)&gt;1,"REMOVE DUPLICATE PRODUCT ROW",IF(OR(NOT(ISNUMBER(D13)),D13&lt;=0,D13&lt;&gt;INT(D13)),"ENTER UNITS BROUGHT AS A POSITIVE WHOLE NUMBER",IF(OR(NOT(ISNUMBER(E13)),E13&lt;0,E13&lt;&gt;INT(E13),E13&gt;D13),"CHECK WHOLE UNITS SOLD",IF(OR(NOT(ISNUMBER(F13)),F13&lt;0),"ENTER SALES AS 0 OR MORE",IF(OR(NOT(ISNUMBER(G13)),G13&lt;0),"ENTER INGREDIENT COST AS 0 OR MORE",IF(OR(NOT(ISNUMBER(H13)),H13&lt;0),"ENTER PACKAGING COST AS 0 OR MORE",IF(OR(NOT(ISNUMBER(I13)),I13&lt;0),"ENTER PRODUCT WORK HOURS AS 0 OR MORE",IF(OR(NOT(ISNUMBER(J13)),J13&lt;0),"ENTER TIME VALUE AS 0 OR MORE",IF(COUNTIFS('Market Days'!$A$5:$A$54,A13,'Market Days'!$B$5:$B$54,B13,'Market Days'!$I$5:$I$54,"READY")&lt;&gt;1,"FIX OR ADD MATCHING MARKET DAY","READY"))))))))))))),"FIX INVALID PRODUCT ENTRY"))</f>
        <v/>
      </c>
    </row>
    <row r="14" customFormat="false" ht="22" hidden="false" customHeight="true" outlineLevel="0" collapsed="false">
      <c r="A14" s="27"/>
      <c r="B14" s="28"/>
      <c r="C14" s="28"/>
      <c r="D14" s="28"/>
      <c r="E14" s="28"/>
      <c r="F14" s="19"/>
      <c r="G14" s="19"/>
      <c r="H14" s="19"/>
      <c r="I14" s="29"/>
      <c r="J14" s="19"/>
      <c r="K14" s="34" t="str">
        <f aca="false">IF(R14&lt;&gt;"READY","",IFERROR(ROUND((ROUND(SUMIFS('Market Days'!$C$5:$C$54,'Market Days'!$A$5:$A$54,A14,'Market Days'!$B$5:$B$54,B14,'Market Days'!$I$5:$I$54,"READY"),2)+ROUND(SUMIFS('Market Days'!$D$5:$D$54,'Market Days'!$A$5:$A$54,A14,'Market Days'!$B$5:$B$54,B14,'Market Days'!$I$5:$I$54,"READY"),2))/COUNTIFS($A$5:$A$104,A14,$B$5:$B$104,B14,$R$5:$R$104,"READY"),2),""))</f>
        <v/>
      </c>
      <c r="L14" s="34" t="str">
        <f aca="false">IF(R14&lt;&gt;"READY","",IFERROR(ROUND(ROUND(G14,2)+ROUND(H14,2)+ROUND(I14*ROUND(J14,2),2)+K14,2),""))</f>
        <v/>
      </c>
      <c r="M14" s="34" t="str">
        <f aca="false">IF(R14&lt;&gt;"READY","",IFERROR(ROUND(ROUND(F14,2)-L14,2),""))</f>
        <v/>
      </c>
      <c r="N14" s="35" t="str">
        <f aca="false">IF(R14&lt;&gt;"READY","",IFERROR(IF(ROUND(F14,2)=0,"",M14/ROUND(F14,2)),""))</f>
        <v/>
      </c>
      <c r="O14" s="35" t="str">
        <f aca="false">IF(R14&lt;&gt;"READY","",IFERROR(E14/D14,""))</f>
        <v/>
      </c>
      <c r="P14" s="34" t="str">
        <f aca="false">IF(R14&lt;&gt;"READY","",IFERROR(IF(I14=0,"",M14/I14),""))</f>
        <v/>
      </c>
      <c r="Q14" s="36" t="str">
        <f aca="false">IF(COUNTA(A14:J14)=0,"",IF(OR(R14&lt;&gt;"READY",COUNTIF(Targets!$D$5:$D$7,"READY")&lt;&gt;3),"NEEDS REVIEW",IFERROR(IF(AND(N14&lt;&gt;"",P14&lt;&gt;"",O14&lt;&gt;"",ROUND(N14,3)&gt;=ROUND(Targets!$B$5,3),ROUND(P14,2)&gt;=ROUND(Targets!$B$6,2),ROUND(O14,3)&gt;=ROUND(Targets!$B$7,3)),"MEETS TARGETS","REVIEW"),"REVIEW")))</f>
        <v/>
      </c>
      <c r="R14" s="17" t="str">
        <f aca="false">IF(COUNTA(A14:J14)=0,"",IFERROR(IF(A14="","ENTER MARKET DATE",IF(NOT(ISNUMBER(A14)),"ENTER A VALID DATE",IF(B14="","ENTER MARKET NAME",IF(C14="","ENTER PRODUCT BATCH",IF(COUNTIFS($A$5:$A$104,A14,$B$5:$B$104,B14,$C$5:$C$104,C14)&gt;1,"REMOVE DUPLICATE PRODUCT ROW",IF(OR(NOT(ISNUMBER(D14)),D14&lt;=0,D14&lt;&gt;INT(D14)),"ENTER UNITS BROUGHT AS A POSITIVE WHOLE NUMBER",IF(OR(NOT(ISNUMBER(E14)),E14&lt;0,E14&lt;&gt;INT(E14),E14&gt;D14),"CHECK WHOLE UNITS SOLD",IF(OR(NOT(ISNUMBER(F14)),F14&lt;0),"ENTER SALES AS 0 OR MORE",IF(OR(NOT(ISNUMBER(G14)),G14&lt;0),"ENTER INGREDIENT COST AS 0 OR MORE",IF(OR(NOT(ISNUMBER(H14)),H14&lt;0),"ENTER PACKAGING COST AS 0 OR MORE",IF(OR(NOT(ISNUMBER(I14)),I14&lt;0),"ENTER PRODUCT WORK HOURS AS 0 OR MORE",IF(OR(NOT(ISNUMBER(J14)),J14&lt;0),"ENTER TIME VALUE AS 0 OR MORE",IF(COUNTIFS('Market Days'!$A$5:$A$54,A14,'Market Days'!$B$5:$B$54,B14,'Market Days'!$I$5:$I$54,"READY")&lt;&gt;1,"FIX OR ADD MATCHING MARKET DAY","READY"))))))))))))),"FIX INVALID PRODUCT ENTRY"))</f>
        <v/>
      </c>
    </row>
    <row r="15" customFormat="false" ht="22" hidden="false" customHeight="true" outlineLevel="0" collapsed="false">
      <c r="A15" s="27"/>
      <c r="B15" s="28"/>
      <c r="C15" s="28"/>
      <c r="D15" s="28"/>
      <c r="E15" s="28"/>
      <c r="F15" s="19"/>
      <c r="G15" s="19"/>
      <c r="H15" s="19"/>
      <c r="I15" s="29"/>
      <c r="J15" s="19"/>
      <c r="K15" s="34" t="str">
        <f aca="false">IF(R15&lt;&gt;"READY","",IFERROR(ROUND((ROUND(SUMIFS('Market Days'!$C$5:$C$54,'Market Days'!$A$5:$A$54,A15,'Market Days'!$B$5:$B$54,B15,'Market Days'!$I$5:$I$54,"READY"),2)+ROUND(SUMIFS('Market Days'!$D$5:$D$54,'Market Days'!$A$5:$A$54,A15,'Market Days'!$B$5:$B$54,B15,'Market Days'!$I$5:$I$54,"READY"),2))/COUNTIFS($A$5:$A$104,A15,$B$5:$B$104,B15,$R$5:$R$104,"READY"),2),""))</f>
        <v/>
      </c>
      <c r="L15" s="34" t="str">
        <f aca="false">IF(R15&lt;&gt;"READY","",IFERROR(ROUND(ROUND(G15,2)+ROUND(H15,2)+ROUND(I15*ROUND(J15,2),2)+K15,2),""))</f>
        <v/>
      </c>
      <c r="M15" s="34" t="str">
        <f aca="false">IF(R15&lt;&gt;"READY","",IFERROR(ROUND(ROUND(F15,2)-L15,2),""))</f>
        <v/>
      </c>
      <c r="N15" s="35" t="str">
        <f aca="false">IF(R15&lt;&gt;"READY","",IFERROR(IF(ROUND(F15,2)=0,"",M15/ROUND(F15,2)),""))</f>
        <v/>
      </c>
      <c r="O15" s="35" t="str">
        <f aca="false">IF(R15&lt;&gt;"READY","",IFERROR(E15/D15,""))</f>
        <v/>
      </c>
      <c r="P15" s="34" t="str">
        <f aca="false">IF(R15&lt;&gt;"READY","",IFERROR(IF(I15=0,"",M15/I15),""))</f>
        <v/>
      </c>
      <c r="Q15" s="36" t="str">
        <f aca="false">IF(COUNTA(A15:J15)=0,"",IF(OR(R15&lt;&gt;"READY",COUNTIF(Targets!$D$5:$D$7,"READY")&lt;&gt;3),"NEEDS REVIEW",IFERROR(IF(AND(N15&lt;&gt;"",P15&lt;&gt;"",O15&lt;&gt;"",ROUND(N15,3)&gt;=ROUND(Targets!$B$5,3),ROUND(P15,2)&gt;=ROUND(Targets!$B$6,2),ROUND(O15,3)&gt;=ROUND(Targets!$B$7,3)),"MEETS TARGETS","REVIEW"),"REVIEW")))</f>
        <v/>
      </c>
      <c r="R15" s="17" t="str">
        <f aca="false">IF(COUNTA(A15:J15)=0,"",IFERROR(IF(A15="","ENTER MARKET DATE",IF(NOT(ISNUMBER(A15)),"ENTER A VALID DATE",IF(B15="","ENTER MARKET NAME",IF(C15="","ENTER PRODUCT BATCH",IF(COUNTIFS($A$5:$A$104,A15,$B$5:$B$104,B15,$C$5:$C$104,C15)&gt;1,"REMOVE DUPLICATE PRODUCT ROW",IF(OR(NOT(ISNUMBER(D15)),D15&lt;=0,D15&lt;&gt;INT(D15)),"ENTER UNITS BROUGHT AS A POSITIVE WHOLE NUMBER",IF(OR(NOT(ISNUMBER(E15)),E15&lt;0,E15&lt;&gt;INT(E15),E15&gt;D15),"CHECK WHOLE UNITS SOLD",IF(OR(NOT(ISNUMBER(F15)),F15&lt;0),"ENTER SALES AS 0 OR MORE",IF(OR(NOT(ISNUMBER(G15)),G15&lt;0),"ENTER INGREDIENT COST AS 0 OR MORE",IF(OR(NOT(ISNUMBER(H15)),H15&lt;0),"ENTER PACKAGING COST AS 0 OR MORE",IF(OR(NOT(ISNUMBER(I15)),I15&lt;0),"ENTER PRODUCT WORK HOURS AS 0 OR MORE",IF(OR(NOT(ISNUMBER(J15)),J15&lt;0),"ENTER TIME VALUE AS 0 OR MORE",IF(COUNTIFS('Market Days'!$A$5:$A$54,A15,'Market Days'!$B$5:$B$54,B15,'Market Days'!$I$5:$I$54,"READY")&lt;&gt;1,"FIX OR ADD MATCHING MARKET DAY","READY"))))))))))))),"FIX INVALID PRODUCT ENTRY"))</f>
        <v/>
      </c>
    </row>
    <row r="16" customFormat="false" ht="22" hidden="false" customHeight="true" outlineLevel="0" collapsed="false">
      <c r="A16" s="27"/>
      <c r="B16" s="28"/>
      <c r="C16" s="28"/>
      <c r="D16" s="28"/>
      <c r="E16" s="28"/>
      <c r="F16" s="19"/>
      <c r="G16" s="19"/>
      <c r="H16" s="19"/>
      <c r="I16" s="29"/>
      <c r="J16" s="19"/>
      <c r="K16" s="34" t="str">
        <f aca="false">IF(R16&lt;&gt;"READY","",IFERROR(ROUND((ROUND(SUMIFS('Market Days'!$C$5:$C$54,'Market Days'!$A$5:$A$54,A16,'Market Days'!$B$5:$B$54,B16,'Market Days'!$I$5:$I$54,"READY"),2)+ROUND(SUMIFS('Market Days'!$D$5:$D$54,'Market Days'!$A$5:$A$54,A16,'Market Days'!$B$5:$B$54,B16,'Market Days'!$I$5:$I$54,"READY"),2))/COUNTIFS($A$5:$A$104,A16,$B$5:$B$104,B16,$R$5:$R$104,"READY"),2),""))</f>
        <v/>
      </c>
      <c r="L16" s="34" t="str">
        <f aca="false">IF(R16&lt;&gt;"READY","",IFERROR(ROUND(ROUND(G16,2)+ROUND(H16,2)+ROUND(I16*ROUND(J16,2),2)+K16,2),""))</f>
        <v/>
      </c>
      <c r="M16" s="34" t="str">
        <f aca="false">IF(R16&lt;&gt;"READY","",IFERROR(ROUND(ROUND(F16,2)-L16,2),""))</f>
        <v/>
      </c>
      <c r="N16" s="35" t="str">
        <f aca="false">IF(R16&lt;&gt;"READY","",IFERROR(IF(ROUND(F16,2)=0,"",M16/ROUND(F16,2)),""))</f>
        <v/>
      </c>
      <c r="O16" s="35" t="str">
        <f aca="false">IF(R16&lt;&gt;"READY","",IFERROR(E16/D16,""))</f>
        <v/>
      </c>
      <c r="P16" s="34" t="str">
        <f aca="false">IF(R16&lt;&gt;"READY","",IFERROR(IF(I16=0,"",M16/I16),""))</f>
        <v/>
      </c>
      <c r="Q16" s="36" t="str">
        <f aca="false">IF(COUNTA(A16:J16)=0,"",IF(OR(R16&lt;&gt;"READY",COUNTIF(Targets!$D$5:$D$7,"READY")&lt;&gt;3),"NEEDS REVIEW",IFERROR(IF(AND(N16&lt;&gt;"",P16&lt;&gt;"",O16&lt;&gt;"",ROUND(N16,3)&gt;=ROUND(Targets!$B$5,3),ROUND(P16,2)&gt;=ROUND(Targets!$B$6,2),ROUND(O16,3)&gt;=ROUND(Targets!$B$7,3)),"MEETS TARGETS","REVIEW"),"REVIEW")))</f>
        <v/>
      </c>
      <c r="R16" s="17" t="str">
        <f aca="false">IF(COUNTA(A16:J16)=0,"",IFERROR(IF(A16="","ENTER MARKET DATE",IF(NOT(ISNUMBER(A16)),"ENTER A VALID DATE",IF(B16="","ENTER MARKET NAME",IF(C16="","ENTER PRODUCT BATCH",IF(COUNTIFS($A$5:$A$104,A16,$B$5:$B$104,B16,$C$5:$C$104,C16)&gt;1,"REMOVE DUPLICATE PRODUCT ROW",IF(OR(NOT(ISNUMBER(D16)),D16&lt;=0,D16&lt;&gt;INT(D16)),"ENTER UNITS BROUGHT AS A POSITIVE WHOLE NUMBER",IF(OR(NOT(ISNUMBER(E16)),E16&lt;0,E16&lt;&gt;INT(E16),E16&gt;D16),"CHECK WHOLE UNITS SOLD",IF(OR(NOT(ISNUMBER(F16)),F16&lt;0),"ENTER SALES AS 0 OR MORE",IF(OR(NOT(ISNUMBER(G16)),G16&lt;0),"ENTER INGREDIENT COST AS 0 OR MORE",IF(OR(NOT(ISNUMBER(H16)),H16&lt;0),"ENTER PACKAGING COST AS 0 OR MORE",IF(OR(NOT(ISNUMBER(I16)),I16&lt;0),"ENTER PRODUCT WORK HOURS AS 0 OR MORE",IF(OR(NOT(ISNUMBER(J16)),J16&lt;0),"ENTER TIME VALUE AS 0 OR MORE",IF(COUNTIFS('Market Days'!$A$5:$A$54,A16,'Market Days'!$B$5:$B$54,B16,'Market Days'!$I$5:$I$54,"READY")&lt;&gt;1,"FIX OR ADD MATCHING MARKET DAY","READY"))))))))))))),"FIX INVALID PRODUCT ENTRY"))</f>
        <v/>
      </c>
    </row>
    <row r="17" customFormat="false" ht="22" hidden="false" customHeight="true" outlineLevel="0" collapsed="false">
      <c r="A17" s="27"/>
      <c r="B17" s="28"/>
      <c r="C17" s="28"/>
      <c r="D17" s="28"/>
      <c r="E17" s="28"/>
      <c r="F17" s="19"/>
      <c r="G17" s="19"/>
      <c r="H17" s="19"/>
      <c r="I17" s="29"/>
      <c r="J17" s="19"/>
      <c r="K17" s="34" t="str">
        <f aca="false">IF(R17&lt;&gt;"READY","",IFERROR(ROUND((ROUND(SUMIFS('Market Days'!$C$5:$C$54,'Market Days'!$A$5:$A$54,A17,'Market Days'!$B$5:$B$54,B17,'Market Days'!$I$5:$I$54,"READY"),2)+ROUND(SUMIFS('Market Days'!$D$5:$D$54,'Market Days'!$A$5:$A$54,A17,'Market Days'!$B$5:$B$54,B17,'Market Days'!$I$5:$I$54,"READY"),2))/COUNTIFS($A$5:$A$104,A17,$B$5:$B$104,B17,$R$5:$R$104,"READY"),2),""))</f>
        <v/>
      </c>
      <c r="L17" s="34" t="str">
        <f aca="false">IF(R17&lt;&gt;"READY","",IFERROR(ROUND(ROUND(G17,2)+ROUND(H17,2)+ROUND(I17*ROUND(J17,2),2)+K17,2),""))</f>
        <v/>
      </c>
      <c r="M17" s="34" t="str">
        <f aca="false">IF(R17&lt;&gt;"READY","",IFERROR(ROUND(ROUND(F17,2)-L17,2),""))</f>
        <v/>
      </c>
      <c r="N17" s="35" t="str">
        <f aca="false">IF(R17&lt;&gt;"READY","",IFERROR(IF(ROUND(F17,2)=0,"",M17/ROUND(F17,2)),""))</f>
        <v/>
      </c>
      <c r="O17" s="35" t="str">
        <f aca="false">IF(R17&lt;&gt;"READY","",IFERROR(E17/D17,""))</f>
        <v/>
      </c>
      <c r="P17" s="34" t="str">
        <f aca="false">IF(R17&lt;&gt;"READY","",IFERROR(IF(I17=0,"",M17/I17),""))</f>
        <v/>
      </c>
      <c r="Q17" s="36" t="str">
        <f aca="false">IF(COUNTA(A17:J17)=0,"",IF(OR(R17&lt;&gt;"READY",COUNTIF(Targets!$D$5:$D$7,"READY")&lt;&gt;3),"NEEDS REVIEW",IFERROR(IF(AND(N17&lt;&gt;"",P17&lt;&gt;"",O17&lt;&gt;"",ROUND(N17,3)&gt;=ROUND(Targets!$B$5,3),ROUND(P17,2)&gt;=ROUND(Targets!$B$6,2),ROUND(O17,3)&gt;=ROUND(Targets!$B$7,3)),"MEETS TARGETS","REVIEW"),"REVIEW")))</f>
        <v/>
      </c>
      <c r="R17" s="17" t="str">
        <f aca="false">IF(COUNTA(A17:J17)=0,"",IFERROR(IF(A17="","ENTER MARKET DATE",IF(NOT(ISNUMBER(A17)),"ENTER A VALID DATE",IF(B17="","ENTER MARKET NAME",IF(C17="","ENTER PRODUCT BATCH",IF(COUNTIFS($A$5:$A$104,A17,$B$5:$B$104,B17,$C$5:$C$104,C17)&gt;1,"REMOVE DUPLICATE PRODUCT ROW",IF(OR(NOT(ISNUMBER(D17)),D17&lt;=0,D17&lt;&gt;INT(D17)),"ENTER UNITS BROUGHT AS A POSITIVE WHOLE NUMBER",IF(OR(NOT(ISNUMBER(E17)),E17&lt;0,E17&lt;&gt;INT(E17),E17&gt;D17),"CHECK WHOLE UNITS SOLD",IF(OR(NOT(ISNUMBER(F17)),F17&lt;0),"ENTER SALES AS 0 OR MORE",IF(OR(NOT(ISNUMBER(G17)),G17&lt;0),"ENTER INGREDIENT COST AS 0 OR MORE",IF(OR(NOT(ISNUMBER(H17)),H17&lt;0),"ENTER PACKAGING COST AS 0 OR MORE",IF(OR(NOT(ISNUMBER(I17)),I17&lt;0),"ENTER PRODUCT WORK HOURS AS 0 OR MORE",IF(OR(NOT(ISNUMBER(J17)),J17&lt;0),"ENTER TIME VALUE AS 0 OR MORE",IF(COUNTIFS('Market Days'!$A$5:$A$54,A17,'Market Days'!$B$5:$B$54,B17,'Market Days'!$I$5:$I$54,"READY")&lt;&gt;1,"FIX OR ADD MATCHING MARKET DAY","READY"))))))))))))),"FIX INVALID PRODUCT ENTRY"))</f>
        <v/>
      </c>
    </row>
    <row r="18" customFormat="false" ht="22" hidden="false" customHeight="true" outlineLevel="0" collapsed="false">
      <c r="A18" s="27"/>
      <c r="B18" s="28"/>
      <c r="C18" s="28"/>
      <c r="D18" s="28"/>
      <c r="E18" s="28"/>
      <c r="F18" s="19"/>
      <c r="G18" s="19"/>
      <c r="H18" s="19"/>
      <c r="I18" s="29"/>
      <c r="J18" s="19"/>
      <c r="K18" s="34" t="str">
        <f aca="false">IF(R18&lt;&gt;"READY","",IFERROR(ROUND((ROUND(SUMIFS('Market Days'!$C$5:$C$54,'Market Days'!$A$5:$A$54,A18,'Market Days'!$B$5:$B$54,B18,'Market Days'!$I$5:$I$54,"READY"),2)+ROUND(SUMIFS('Market Days'!$D$5:$D$54,'Market Days'!$A$5:$A$54,A18,'Market Days'!$B$5:$B$54,B18,'Market Days'!$I$5:$I$54,"READY"),2))/COUNTIFS($A$5:$A$104,A18,$B$5:$B$104,B18,$R$5:$R$104,"READY"),2),""))</f>
        <v/>
      </c>
      <c r="L18" s="34" t="str">
        <f aca="false">IF(R18&lt;&gt;"READY","",IFERROR(ROUND(ROUND(G18,2)+ROUND(H18,2)+ROUND(I18*ROUND(J18,2),2)+K18,2),""))</f>
        <v/>
      </c>
      <c r="M18" s="34" t="str">
        <f aca="false">IF(R18&lt;&gt;"READY","",IFERROR(ROUND(ROUND(F18,2)-L18,2),""))</f>
        <v/>
      </c>
      <c r="N18" s="35" t="str">
        <f aca="false">IF(R18&lt;&gt;"READY","",IFERROR(IF(ROUND(F18,2)=0,"",M18/ROUND(F18,2)),""))</f>
        <v/>
      </c>
      <c r="O18" s="35" t="str">
        <f aca="false">IF(R18&lt;&gt;"READY","",IFERROR(E18/D18,""))</f>
        <v/>
      </c>
      <c r="P18" s="34" t="str">
        <f aca="false">IF(R18&lt;&gt;"READY","",IFERROR(IF(I18=0,"",M18/I18),""))</f>
        <v/>
      </c>
      <c r="Q18" s="36" t="str">
        <f aca="false">IF(COUNTA(A18:J18)=0,"",IF(OR(R18&lt;&gt;"READY",COUNTIF(Targets!$D$5:$D$7,"READY")&lt;&gt;3),"NEEDS REVIEW",IFERROR(IF(AND(N18&lt;&gt;"",P18&lt;&gt;"",O18&lt;&gt;"",ROUND(N18,3)&gt;=ROUND(Targets!$B$5,3),ROUND(P18,2)&gt;=ROUND(Targets!$B$6,2),ROUND(O18,3)&gt;=ROUND(Targets!$B$7,3)),"MEETS TARGETS","REVIEW"),"REVIEW")))</f>
        <v/>
      </c>
      <c r="R18" s="17" t="str">
        <f aca="false">IF(COUNTA(A18:J18)=0,"",IFERROR(IF(A18="","ENTER MARKET DATE",IF(NOT(ISNUMBER(A18)),"ENTER A VALID DATE",IF(B18="","ENTER MARKET NAME",IF(C18="","ENTER PRODUCT BATCH",IF(COUNTIFS($A$5:$A$104,A18,$B$5:$B$104,B18,$C$5:$C$104,C18)&gt;1,"REMOVE DUPLICATE PRODUCT ROW",IF(OR(NOT(ISNUMBER(D18)),D18&lt;=0,D18&lt;&gt;INT(D18)),"ENTER UNITS BROUGHT AS A POSITIVE WHOLE NUMBER",IF(OR(NOT(ISNUMBER(E18)),E18&lt;0,E18&lt;&gt;INT(E18),E18&gt;D18),"CHECK WHOLE UNITS SOLD",IF(OR(NOT(ISNUMBER(F18)),F18&lt;0),"ENTER SALES AS 0 OR MORE",IF(OR(NOT(ISNUMBER(G18)),G18&lt;0),"ENTER INGREDIENT COST AS 0 OR MORE",IF(OR(NOT(ISNUMBER(H18)),H18&lt;0),"ENTER PACKAGING COST AS 0 OR MORE",IF(OR(NOT(ISNUMBER(I18)),I18&lt;0),"ENTER PRODUCT WORK HOURS AS 0 OR MORE",IF(OR(NOT(ISNUMBER(J18)),J18&lt;0),"ENTER TIME VALUE AS 0 OR MORE",IF(COUNTIFS('Market Days'!$A$5:$A$54,A18,'Market Days'!$B$5:$B$54,B18,'Market Days'!$I$5:$I$54,"READY")&lt;&gt;1,"FIX OR ADD MATCHING MARKET DAY","READY"))))))))))))),"FIX INVALID PRODUCT ENTRY"))</f>
        <v/>
      </c>
    </row>
    <row r="19" customFormat="false" ht="22" hidden="false" customHeight="true" outlineLevel="0" collapsed="false">
      <c r="A19" s="27"/>
      <c r="B19" s="28"/>
      <c r="C19" s="28"/>
      <c r="D19" s="28"/>
      <c r="E19" s="28"/>
      <c r="F19" s="19"/>
      <c r="G19" s="19"/>
      <c r="H19" s="19"/>
      <c r="I19" s="29"/>
      <c r="J19" s="19"/>
      <c r="K19" s="34" t="str">
        <f aca="false">IF(R19&lt;&gt;"READY","",IFERROR(ROUND((ROUND(SUMIFS('Market Days'!$C$5:$C$54,'Market Days'!$A$5:$A$54,A19,'Market Days'!$B$5:$B$54,B19,'Market Days'!$I$5:$I$54,"READY"),2)+ROUND(SUMIFS('Market Days'!$D$5:$D$54,'Market Days'!$A$5:$A$54,A19,'Market Days'!$B$5:$B$54,B19,'Market Days'!$I$5:$I$54,"READY"),2))/COUNTIFS($A$5:$A$104,A19,$B$5:$B$104,B19,$R$5:$R$104,"READY"),2),""))</f>
        <v/>
      </c>
      <c r="L19" s="34" t="str">
        <f aca="false">IF(R19&lt;&gt;"READY","",IFERROR(ROUND(ROUND(G19,2)+ROUND(H19,2)+ROUND(I19*ROUND(J19,2),2)+K19,2),""))</f>
        <v/>
      </c>
      <c r="M19" s="34" t="str">
        <f aca="false">IF(R19&lt;&gt;"READY","",IFERROR(ROUND(ROUND(F19,2)-L19,2),""))</f>
        <v/>
      </c>
      <c r="N19" s="35" t="str">
        <f aca="false">IF(R19&lt;&gt;"READY","",IFERROR(IF(ROUND(F19,2)=0,"",M19/ROUND(F19,2)),""))</f>
        <v/>
      </c>
      <c r="O19" s="35" t="str">
        <f aca="false">IF(R19&lt;&gt;"READY","",IFERROR(E19/D19,""))</f>
        <v/>
      </c>
      <c r="P19" s="34" t="str">
        <f aca="false">IF(R19&lt;&gt;"READY","",IFERROR(IF(I19=0,"",M19/I19),""))</f>
        <v/>
      </c>
      <c r="Q19" s="36" t="str">
        <f aca="false">IF(COUNTA(A19:J19)=0,"",IF(OR(R19&lt;&gt;"READY",COUNTIF(Targets!$D$5:$D$7,"READY")&lt;&gt;3),"NEEDS REVIEW",IFERROR(IF(AND(N19&lt;&gt;"",P19&lt;&gt;"",O19&lt;&gt;"",ROUND(N19,3)&gt;=ROUND(Targets!$B$5,3),ROUND(P19,2)&gt;=ROUND(Targets!$B$6,2),ROUND(O19,3)&gt;=ROUND(Targets!$B$7,3)),"MEETS TARGETS","REVIEW"),"REVIEW")))</f>
        <v/>
      </c>
      <c r="R19" s="17" t="str">
        <f aca="false">IF(COUNTA(A19:J19)=0,"",IFERROR(IF(A19="","ENTER MARKET DATE",IF(NOT(ISNUMBER(A19)),"ENTER A VALID DATE",IF(B19="","ENTER MARKET NAME",IF(C19="","ENTER PRODUCT BATCH",IF(COUNTIFS($A$5:$A$104,A19,$B$5:$B$104,B19,$C$5:$C$104,C19)&gt;1,"REMOVE DUPLICATE PRODUCT ROW",IF(OR(NOT(ISNUMBER(D19)),D19&lt;=0,D19&lt;&gt;INT(D19)),"ENTER UNITS BROUGHT AS A POSITIVE WHOLE NUMBER",IF(OR(NOT(ISNUMBER(E19)),E19&lt;0,E19&lt;&gt;INT(E19),E19&gt;D19),"CHECK WHOLE UNITS SOLD",IF(OR(NOT(ISNUMBER(F19)),F19&lt;0),"ENTER SALES AS 0 OR MORE",IF(OR(NOT(ISNUMBER(G19)),G19&lt;0),"ENTER INGREDIENT COST AS 0 OR MORE",IF(OR(NOT(ISNUMBER(H19)),H19&lt;0),"ENTER PACKAGING COST AS 0 OR MORE",IF(OR(NOT(ISNUMBER(I19)),I19&lt;0),"ENTER PRODUCT WORK HOURS AS 0 OR MORE",IF(OR(NOT(ISNUMBER(J19)),J19&lt;0),"ENTER TIME VALUE AS 0 OR MORE",IF(COUNTIFS('Market Days'!$A$5:$A$54,A19,'Market Days'!$B$5:$B$54,B19,'Market Days'!$I$5:$I$54,"READY")&lt;&gt;1,"FIX OR ADD MATCHING MARKET DAY","READY"))))))))))))),"FIX INVALID PRODUCT ENTRY"))</f>
        <v/>
      </c>
    </row>
    <row r="20" customFormat="false" ht="22" hidden="false" customHeight="true" outlineLevel="0" collapsed="false">
      <c r="A20" s="27"/>
      <c r="B20" s="28"/>
      <c r="C20" s="28"/>
      <c r="D20" s="28"/>
      <c r="E20" s="28"/>
      <c r="F20" s="19"/>
      <c r="G20" s="19"/>
      <c r="H20" s="19"/>
      <c r="I20" s="29"/>
      <c r="J20" s="19"/>
      <c r="K20" s="34" t="str">
        <f aca="false">IF(R20&lt;&gt;"READY","",IFERROR(ROUND((ROUND(SUMIFS('Market Days'!$C$5:$C$54,'Market Days'!$A$5:$A$54,A20,'Market Days'!$B$5:$B$54,B20,'Market Days'!$I$5:$I$54,"READY"),2)+ROUND(SUMIFS('Market Days'!$D$5:$D$54,'Market Days'!$A$5:$A$54,A20,'Market Days'!$B$5:$B$54,B20,'Market Days'!$I$5:$I$54,"READY"),2))/COUNTIFS($A$5:$A$104,A20,$B$5:$B$104,B20,$R$5:$R$104,"READY"),2),""))</f>
        <v/>
      </c>
      <c r="L20" s="34" t="str">
        <f aca="false">IF(R20&lt;&gt;"READY","",IFERROR(ROUND(ROUND(G20,2)+ROUND(H20,2)+ROUND(I20*ROUND(J20,2),2)+K20,2),""))</f>
        <v/>
      </c>
      <c r="M20" s="34" t="str">
        <f aca="false">IF(R20&lt;&gt;"READY","",IFERROR(ROUND(ROUND(F20,2)-L20,2),""))</f>
        <v/>
      </c>
      <c r="N20" s="35" t="str">
        <f aca="false">IF(R20&lt;&gt;"READY","",IFERROR(IF(ROUND(F20,2)=0,"",M20/ROUND(F20,2)),""))</f>
        <v/>
      </c>
      <c r="O20" s="35" t="str">
        <f aca="false">IF(R20&lt;&gt;"READY","",IFERROR(E20/D20,""))</f>
        <v/>
      </c>
      <c r="P20" s="34" t="str">
        <f aca="false">IF(R20&lt;&gt;"READY","",IFERROR(IF(I20=0,"",M20/I20),""))</f>
        <v/>
      </c>
      <c r="Q20" s="36" t="str">
        <f aca="false">IF(COUNTA(A20:J20)=0,"",IF(OR(R20&lt;&gt;"READY",COUNTIF(Targets!$D$5:$D$7,"READY")&lt;&gt;3),"NEEDS REVIEW",IFERROR(IF(AND(N20&lt;&gt;"",P20&lt;&gt;"",O20&lt;&gt;"",ROUND(N20,3)&gt;=ROUND(Targets!$B$5,3),ROUND(P20,2)&gt;=ROUND(Targets!$B$6,2),ROUND(O20,3)&gt;=ROUND(Targets!$B$7,3)),"MEETS TARGETS","REVIEW"),"REVIEW")))</f>
        <v/>
      </c>
      <c r="R20" s="17" t="str">
        <f aca="false">IF(COUNTA(A20:J20)=0,"",IFERROR(IF(A20="","ENTER MARKET DATE",IF(NOT(ISNUMBER(A20)),"ENTER A VALID DATE",IF(B20="","ENTER MARKET NAME",IF(C20="","ENTER PRODUCT BATCH",IF(COUNTIFS($A$5:$A$104,A20,$B$5:$B$104,B20,$C$5:$C$104,C20)&gt;1,"REMOVE DUPLICATE PRODUCT ROW",IF(OR(NOT(ISNUMBER(D20)),D20&lt;=0,D20&lt;&gt;INT(D20)),"ENTER UNITS BROUGHT AS A POSITIVE WHOLE NUMBER",IF(OR(NOT(ISNUMBER(E20)),E20&lt;0,E20&lt;&gt;INT(E20),E20&gt;D20),"CHECK WHOLE UNITS SOLD",IF(OR(NOT(ISNUMBER(F20)),F20&lt;0),"ENTER SALES AS 0 OR MORE",IF(OR(NOT(ISNUMBER(G20)),G20&lt;0),"ENTER INGREDIENT COST AS 0 OR MORE",IF(OR(NOT(ISNUMBER(H20)),H20&lt;0),"ENTER PACKAGING COST AS 0 OR MORE",IF(OR(NOT(ISNUMBER(I20)),I20&lt;0),"ENTER PRODUCT WORK HOURS AS 0 OR MORE",IF(OR(NOT(ISNUMBER(J20)),J20&lt;0),"ENTER TIME VALUE AS 0 OR MORE",IF(COUNTIFS('Market Days'!$A$5:$A$54,A20,'Market Days'!$B$5:$B$54,B20,'Market Days'!$I$5:$I$54,"READY")&lt;&gt;1,"FIX OR ADD MATCHING MARKET DAY","READY"))))))))))))),"FIX INVALID PRODUCT ENTRY"))</f>
        <v/>
      </c>
    </row>
    <row r="21" customFormat="false" ht="22" hidden="false" customHeight="true" outlineLevel="0" collapsed="false">
      <c r="A21" s="27"/>
      <c r="B21" s="28"/>
      <c r="C21" s="28"/>
      <c r="D21" s="28"/>
      <c r="E21" s="28"/>
      <c r="F21" s="19"/>
      <c r="G21" s="19"/>
      <c r="H21" s="19"/>
      <c r="I21" s="29"/>
      <c r="J21" s="19"/>
      <c r="K21" s="34" t="str">
        <f aca="false">IF(R21&lt;&gt;"READY","",IFERROR(ROUND((ROUND(SUMIFS('Market Days'!$C$5:$C$54,'Market Days'!$A$5:$A$54,A21,'Market Days'!$B$5:$B$54,B21,'Market Days'!$I$5:$I$54,"READY"),2)+ROUND(SUMIFS('Market Days'!$D$5:$D$54,'Market Days'!$A$5:$A$54,A21,'Market Days'!$B$5:$B$54,B21,'Market Days'!$I$5:$I$54,"READY"),2))/COUNTIFS($A$5:$A$104,A21,$B$5:$B$104,B21,$R$5:$R$104,"READY"),2),""))</f>
        <v/>
      </c>
      <c r="L21" s="34" t="str">
        <f aca="false">IF(R21&lt;&gt;"READY","",IFERROR(ROUND(ROUND(G21,2)+ROUND(H21,2)+ROUND(I21*ROUND(J21,2),2)+K21,2),""))</f>
        <v/>
      </c>
      <c r="M21" s="34" t="str">
        <f aca="false">IF(R21&lt;&gt;"READY","",IFERROR(ROUND(ROUND(F21,2)-L21,2),""))</f>
        <v/>
      </c>
      <c r="N21" s="35" t="str">
        <f aca="false">IF(R21&lt;&gt;"READY","",IFERROR(IF(ROUND(F21,2)=0,"",M21/ROUND(F21,2)),""))</f>
        <v/>
      </c>
      <c r="O21" s="35" t="str">
        <f aca="false">IF(R21&lt;&gt;"READY","",IFERROR(E21/D21,""))</f>
        <v/>
      </c>
      <c r="P21" s="34" t="str">
        <f aca="false">IF(R21&lt;&gt;"READY","",IFERROR(IF(I21=0,"",M21/I21),""))</f>
        <v/>
      </c>
      <c r="Q21" s="36" t="str">
        <f aca="false">IF(COUNTA(A21:J21)=0,"",IF(OR(R21&lt;&gt;"READY",COUNTIF(Targets!$D$5:$D$7,"READY")&lt;&gt;3),"NEEDS REVIEW",IFERROR(IF(AND(N21&lt;&gt;"",P21&lt;&gt;"",O21&lt;&gt;"",ROUND(N21,3)&gt;=ROUND(Targets!$B$5,3),ROUND(P21,2)&gt;=ROUND(Targets!$B$6,2),ROUND(O21,3)&gt;=ROUND(Targets!$B$7,3)),"MEETS TARGETS","REVIEW"),"REVIEW")))</f>
        <v/>
      </c>
      <c r="R21" s="17" t="str">
        <f aca="false">IF(COUNTA(A21:J21)=0,"",IFERROR(IF(A21="","ENTER MARKET DATE",IF(NOT(ISNUMBER(A21)),"ENTER A VALID DATE",IF(B21="","ENTER MARKET NAME",IF(C21="","ENTER PRODUCT BATCH",IF(COUNTIFS($A$5:$A$104,A21,$B$5:$B$104,B21,$C$5:$C$104,C21)&gt;1,"REMOVE DUPLICATE PRODUCT ROW",IF(OR(NOT(ISNUMBER(D21)),D21&lt;=0,D21&lt;&gt;INT(D21)),"ENTER UNITS BROUGHT AS A POSITIVE WHOLE NUMBER",IF(OR(NOT(ISNUMBER(E21)),E21&lt;0,E21&lt;&gt;INT(E21),E21&gt;D21),"CHECK WHOLE UNITS SOLD",IF(OR(NOT(ISNUMBER(F21)),F21&lt;0),"ENTER SALES AS 0 OR MORE",IF(OR(NOT(ISNUMBER(G21)),G21&lt;0),"ENTER INGREDIENT COST AS 0 OR MORE",IF(OR(NOT(ISNUMBER(H21)),H21&lt;0),"ENTER PACKAGING COST AS 0 OR MORE",IF(OR(NOT(ISNUMBER(I21)),I21&lt;0),"ENTER PRODUCT WORK HOURS AS 0 OR MORE",IF(OR(NOT(ISNUMBER(J21)),J21&lt;0),"ENTER TIME VALUE AS 0 OR MORE",IF(COUNTIFS('Market Days'!$A$5:$A$54,A21,'Market Days'!$B$5:$B$54,B21,'Market Days'!$I$5:$I$54,"READY")&lt;&gt;1,"FIX OR ADD MATCHING MARKET DAY","READY"))))))))))))),"FIX INVALID PRODUCT ENTRY"))</f>
        <v/>
      </c>
    </row>
    <row r="22" customFormat="false" ht="22" hidden="false" customHeight="true" outlineLevel="0" collapsed="false">
      <c r="A22" s="27"/>
      <c r="B22" s="28"/>
      <c r="C22" s="28"/>
      <c r="D22" s="28"/>
      <c r="E22" s="28"/>
      <c r="F22" s="19"/>
      <c r="G22" s="19"/>
      <c r="H22" s="19"/>
      <c r="I22" s="29"/>
      <c r="J22" s="19"/>
      <c r="K22" s="34" t="str">
        <f aca="false">IF(R22&lt;&gt;"READY","",IFERROR(ROUND((ROUND(SUMIFS('Market Days'!$C$5:$C$54,'Market Days'!$A$5:$A$54,A22,'Market Days'!$B$5:$B$54,B22,'Market Days'!$I$5:$I$54,"READY"),2)+ROUND(SUMIFS('Market Days'!$D$5:$D$54,'Market Days'!$A$5:$A$54,A22,'Market Days'!$B$5:$B$54,B22,'Market Days'!$I$5:$I$54,"READY"),2))/COUNTIFS($A$5:$A$104,A22,$B$5:$B$104,B22,$R$5:$R$104,"READY"),2),""))</f>
        <v/>
      </c>
      <c r="L22" s="34" t="str">
        <f aca="false">IF(R22&lt;&gt;"READY","",IFERROR(ROUND(ROUND(G22,2)+ROUND(H22,2)+ROUND(I22*ROUND(J22,2),2)+K22,2),""))</f>
        <v/>
      </c>
      <c r="M22" s="34" t="str">
        <f aca="false">IF(R22&lt;&gt;"READY","",IFERROR(ROUND(ROUND(F22,2)-L22,2),""))</f>
        <v/>
      </c>
      <c r="N22" s="35" t="str">
        <f aca="false">IF(R22&lt;&gt;"READY","",IFERROR(IF(ROUND(F22,2)=0,"",M22/ROUND(F22,2)),""))</f>
        <v/>
      </c>
      <c r="O22" s="35" t="str">
        <f aca="false">IF(R22&lt;&gt;"READY","",IFERROR(E22/D22,""))</f>
        <v/>
      </c>
      <c r="P22" s="34" t="str">
        <f aca="false">IF(R22&lt;&gt;"READY","",IFERROR(IF(I22=0,"",M22/I22),""))</f>
        <v/>
      </c>
      <c r="Q22" s="36" t="str">
        <f aca="false">IF(COUNTA(A22:J22)=0,"",IF(OR(R22&lt;&gt;"READY",COUNTIF(Targets!$D$5:$D$7,"READY")&lt;&gt;3),"NEEDS REVIEW",IFERROR(IF(AND(N22&lt;&gt;"",P22&lt;&gt;"",O22&lt;&gt;"",ROUND(N22,3)&gt;=ROUND(Targets!$B$5,3),ROUND(P22,2)&gt;=ROUND(Targets!$B$6,2),ROUND(O22,3)&gt;=ROUND(Targets!$B$7,3)),"MEETS TARGETS","REVIEW"),"REVIEW")))</f>
        <v/>
      </c>
      <c r="R22" s="17" t="str">
        <f aca="false">IF(COUNTA(A22:J22)=0,"",IFERROR(IF(A22="","ENTER MARKET DATE",IF(NOT(ISNUMBER(A22)),"ENTER A VALID DATE",IF(B22="","ENTER MARKET NAME",IF(C22="","ENTER PRODUCT BATCH",IF(COUNTIFS($A$5:$A$104,A22,$B$5:$B$104,B22,$C$5:$C$104,C22)&gt;1,"REMOVE DUPLICATE PRODUCT ROW",IF(OR(NOT(ISNUMBER(D22)),D22&lt;=0,D22&lt;&gt;INT(D22)),"ENTER UNITS BROUGHT AS A POSITIVE WHOLE NUMBER",IF(OR(NOT(ISNUMBER(E22)),E22&lt;0,E22&lt;&gt;INT(E22),E22&gt;D22),"CHECK WHOLE UNITS SOLD",IF(OR(NOT(ISNUMBER(F22)),F22&lt;0),"ENTER SALES AS 0 OR MORE",IF(OR(NOT(ISNUMBER(G22)),G22&lt;0),"ENTER INGREDIENT COST AS 0 OR MORE",IF(OR(NOT(ISNUMBER(H22)),H22&lt;0),"ENTER PACKAGING COST AS 0 OR MORE",IF(OR(NOT(ISNUMBER(I22)),I22&lt;0),"ENTER PRODUCT WORK HOURS AS 0 OR MORE",IF(OR(NOT(ISNUMBER(J22)),J22&lt;0),"ENTER TIME VALUE AS 0 OR MORE",IF(COUNTIFS('Market Days'!$A$5:$A$54,A22,'Market Days'!$B$5:$B$54,B22,'Market Days'!$I$5:$I$54,"READY")&lt;&gt;1,"FIX OR ADD MATCHING MARKET DAY","READY"))))))))))))),"FIX INVALID PRODUCT ENTRY"))</f>
        <v/>
      </c>
    </row>
    <row r="23" customFormat="false" ht="22" hidden="false" customHeight="true" outlineLevel="0" collapsed="false">
      <c r="A23" s="27"/>
      <c r="B23" s="28"/>
      <c r="C23" s="28"/>
      <c r="D23" s="28"/>
      <c r="E23" s="28"/>
      <c r="F23" s="19"/>
      <c r="G23" s="19"/>
      <c r="H23" s="19"/>
      <c r="I23" s="29"/>
      <c r="J23" s="19"/>
      <c r="K23" s="34" t="str">
        <f aca="false">IF(R23&lt;&gt;"READY","",IFERROR(ROUND((ROUND(SUMIFS('Market Days'!$C$5:$C$54,'Market Days'!$A$5:$A$54,A23,'Market Days'!$B$5:$B$54,B23,'Market Days'!$I$5:$I$54,"READY"),2)+ROUND(SUMIFS('Market Days'!$D$5:$D$54,'Market Days'!$A$5:$A$54,A23,'Market Days'!$B$5:$B$54,B23,'Market Days'!$I$5:$I$54,"READY"),2))/COUNTIFS($A$5:$A$104,A23,$B$5:$B$104,B23,$R$5:$R$104,"READY"),2),""))</f>
        <v/>
      </c>
      <c r="L23" s="34" t="str">
        <f aca="false">IF(R23&lt;&gt;"READY","",IFERROR(ROUND(ROUND(G23,2)+ROUND(H23,2)+ROUND(I23*ROUND(J23,2),2)+K23,2),""))</f>
        <v/>
      </c>
      <c r="M23" s="34" t="str">
        <f aca="false">IF(R23&lt;&gt;"READY","",IFERROR(ROUND(ROUND(F23,2)-L23,2),""))</f>
        <v/>
      </c>
      <c r="N23" s="35" t="str">
        <f aca="false">IF(R23&lt;&gt;"READY","",IFERROR(IF(ROUND(F23,2)=0,"",M23/ROUND(F23,2)),""))</f>
        <v/>
      </c>
      <c r="O23" s="35" t="str">
        <f aca="false">IF(R23&lt;&gt;"READY","",IFERROR(E23/D23,""))</f>
        <v/>
      </c>
      <c r="P23" s="34" t="str">
        <f aca="false">IF(R23&lt;&gt;"READY","",IFERROR(IF(I23=0,"",M23/I23),""))</f>
        <v/>
      </c>
      <c r="Q23" s="36" t="str">
        <f aca="false">IF(COUNTA(A23:J23)=0,"",IF(OR(R23&lt;&gt;"READY",COUNTIF(Targets!$D$5:$D$7,"READY")&lt;&gt;3),"NEEDS REVIEW",IFERROR(IF(AND(N23&lt;&gt;"",P23&lt;&gt;"",O23&lt;&gt;"",ROUND(N23,3)&gt;=ROUND(Targets!$B$5,3),ROUND(P23,2)&gt;=ROUND(Targets!$B$6,2),ROUND(O23,3)&gt;=ROUND(Targets!$B$7,3)),"MEETS TARGETS","REVIEW"),"REVIEW")))</f>
        <v/>
      </c>
      <c r="R23" s="17" t="str">
        <f aca="false">IF(COUNTA(A23:J23)=0,"",IFERROR(IF(A23="","ENTER MARKET DATE",IF(NOT(ISNUMBER(A23)),"ENTER A VALID DATE",IF(B23="","ENTER MARKET NAME",IF(C23="","ENTER PRODUCT BATCH",IF(COUNTIFS($A$5:$A$104,A23,$B$5:$B$104,B23,$C$5:$C$104,C23)&gt;1,"REMOVE DUPLICATE PRODUCT ROW",IF(OR(NOT(ISNUMBER(D23)),D23&lt;=0,D23&lt;&gt;INT(D23)),"ENTER UNITS BROUGHT AS A POSITIVE WHOLE NUMBER",IF(OR(NOT(ISNUMBER(E23)),E23&lt;0,E23&lt;&gt;INT(E23),E23&gt;D23),"CHECK WHOLE UNITS SOLD",IF(OR(NOT(ISNUMBER(F23)),F23&lt;0),"ENTER SALES AS 0 OR MORE",IF(OR(NOT(ISNUMBER(G23)),G23&lt;0),"ENTER INGREDIENT COST AS 0 OR MORE",IF(OR(NOT(ISNUMBER(H23)),H23&lt;0),"ENTER PACKAGING COST AS 0 OR MORE",IF(OR(NOT(ISNUMBER(I23)),I23&lt;0),"ENTER PRODUCT WORK HOURS AS 0 OR MORE",IF(OR(NOT(ISNUMBER(J23)),J23&lt;0),"ENTER TIME VALUE AS 0 OR MORE",IF(COUNTIFS('Market Days'!$A$5:$A$54,A23,'Market Days'!$B$5:$B$54,B23,'Market Days'!$I$5:$I$54,"READY")&lt;&gt;1,"FIX OR ADD MATCHING MARKET DAY","READY"))))))))))))),"FIX INVALID PRODUCT ENTRY"))</f>
        <v/>
      </c>
    </row>
    <row r="24" customFormat="false" ht="22" hidden="false" customHeight="true" outlineLevel="0" collapsed="false">
      <c r="A24" s="27"/>
      <c r="B24" s="28"/>
      <c r="C24" s="28"/>
      <c r="D24" s="28"/>
      <c r="E24" s="28"/>
      <c r="F24" s="19"/>
      <c r="G24" s="19"/>
      <c r="H24" s="19"/>
      <c r="I24" s="29"/>
      <c r="J24" s="19"/>
      <c r="K24" s="34" t="str">
        <f aca="false">IF(R24&lt;&gt;"READY","",IFERROR(ROUND((ROUND(SUMIFS('Market Days'!$C$5:$C$54,'Market Days'!$A$5:$A$54,A24,'Market Days'!$B$5:$B$54,B24,'Market Days'!$I$5:$I$54,"READY"),2)+ROUND(SUMIFS('Market Days'!$D$5:$D$54,'Market Days'!$A$5:$A$54,A24,'Market Days'!$B$5:$B$54,B24,'Market Days'!$I$5:$I$54,"READY"),2))/COUNTIFS($A$5:$A$104,A24,$B$5:$B$104,B24,$R$5:$R$104,"READY"),2),""))</f>
        <v/>
      </c>
      <c r="L24" s="34" t="str">
        <f aca="false">IF(R24&lt;&gt;"READY","",IFERROR(ROUND(ROUND(G24,2)+ROUND(H24,2)+ROUND(I24*ROUND(J24,2),2)+K24,2),""))</f>
        <v/>
      </c>
      <c r="M24" s="34" t="str">
        <f aca="false">IF(R24&lt;&gt;"READY","",IFERROR(ROUND(ROUND(F24,2)-L24,2),""))</f>
        <v/>
      </c>
      <c r="N24" s="35" t="str">
        <f aca="false">IF(R24&lt;&gt;"READY","",IFERROR(IF(ROUND(F24,2)=0,"",M24/ROUND(F24,2)),""))</f>
        <v/>
      </c>
      <c r="O24" s="35" t="str">
        <f aca="false">IF(R24&lt;&gt;"READY","",IFERROR(E24/D24,""))</f>
        <v/>
      </c>
      <c r="P24" s="34" t="str">
        <f aca="false">IF(R24&lt;&gt;"READY","",IFERROR(IF(I24=0,"",M24/I24),""))</f>
        <v/>
      </c>
      <c r="Q24" s="36" t="str">
        <f aca="false">IF(COUNTA(A24:J24)=0,"",IF(OR(R24&lt;&gt;"READY",COUNTIF(Targets!$D$5:$D$7,"READY")&lt;&gt;3),"NEEDS REVIEW",IFERROR(IF(AND(N24&lt;&gt;"",P24&lt;&gt;"",O24&lt;&gt;"",ROUND(N24,3)&gt;=ROUND(Targets!$B$5,3),ROUND(P24,2)&gt;=ROUND(Targets!$B$6,2),ROUND(O24,3)&gt;=ROUND(Targets!$B$7,3)),"MEETS TARGETS","REVIEW"),"REVIEW")))</f>
        <v/>
      </c>
      <c r="R24" s="17" t="str">
        <f aca="false">IF(COUNTA(A24:J24)=0,"",IFERROR(IF(A24="","ENTER MARKET DATE",IF(NOT(ISNUMBER(A24)),"ENTER A VALID DATE",IF(B24="","ENTER MARKET NAME",IF(C24="","ENTER PRODUCT BATCH",IF(COUNTIFS($A$5:$A$104,A24,$B$5:$B$104,B24,$C$5:$C$104,C24)&gt;1,"REMOVE DUPLICATE PRODUCT ROW",IF(OR(NOT(ISNUMBER(D24)),D24&lt;=0,D24&lt;&gt;INT(D24)),"ENTER UNITS BROUGHT AS A POSITIVE WHOLE NUMBER",IF(OR(NOT(ISNUMBER(E24)),E24&lt;0,E24&lt;&gt;INT(E24),E24&gt;D24),"CHECK WHOLE UNITS SOLD",IF(OR(NOT(ISNUMBER(F24)),F24&lt;0),"ENTER SALES AS 0 OR MORE",IF(OR(NOT(ISNUMBER(G24)),G24&lt;0),"ENTER INGREDIENT COST AS 0 OR MORE",IF(OR(NOT(ISNUMBER(H24)),H24&lt;0),"ENTER PACKAGING COST AS 0 OR MORE",IF(OR(NOT(ISNUMBER(I24)),I24&lt;0),"ENTER PRODUCT WORK HOURS AS 0 OR MORE",IF(OR(NOT(ISNUMBER(J24)),J24&lt;0),"ENTER TIME VALUE AS 0 OR MORE",IF(COUNTIFS('Market Days'!$A$5:$A$54,A24,'Market Days'!$B$5:$B$54,B24,'Market Days'!$I$5:$I$54,"READY")&lt;&gt;1,"FIX OR ADD MATCHING MARKET DAY","READY"))))))))))))),"FIX INVALID PRODUCT ENTRY"))</f>
        <v/>
      </c>
    </row>
    <row r="25" customFormat="false" ht="22" hidden="false" customHeight="true" outlineLevel="0" collapsed="false">
      <c r="A25" s="27"/>
      <c r="B25" s="28"/>
      <c r="C25" s="28"/>
      <c r="D25" s="28"/>
      <c r="E25" s="28"/>
      <c r="F25" s="19"/>
      <c r="G25" s="19"/>
      <c r="H25" s="19"/>
      <c r="I25" s="29"/>
      <c r="J25" s="19"/>
      <c r="K25" s="34" t="str">
        <f aca="false">IF(R25&lt;&gt;"READY","",IFERROR(ROUND((ROUND(SUMIFS('Market Days'!$C$5:$C$54,'Market Days'!$A$5:$A$54,A25,'Market Days'!$B$5:$B$54,B25,'Market Days'!$I$5:$I$54,"READY"),2)+ROUND(SUMIFS('Market Days'!$D$5:$D$54,'Market Days'!$A$5:$A$54,A25,'Market Days'!$B$5:$B$54,B25,'Market Days'!$I$5:$I$54,"READY"),2))/COUNTIFS($A$5:$A$104,A25,$B$5:$B$104,B25,$R$5:$R$104,"READY"),2),""))</f>
        <v/>
      </c>
      <c r="L25" s="34" t="str">
        <f aca="false">IF(R25&lt;&gt;"READY","",IFERROR(ROUND(ROUND(G25,2)+ROUND(H25,2)+ROUND(I25*ROUND(J25,2),2)+K25,2),""))</f>
        <v/>
      </c>
      <c r="M25" s="34" t="str">
        <f aca="false">IF(R25&lt;&gt;"READY","",IFERROR(ROUND(ROUND(F25,2)-L25,2),""))</f>
        <v/>
      </c>
      <c r="N25" s="35" t="str">
        <f aca="false">IF(R25&lt;&gt;"READY","",IFERROR(IF(ROUND(F25,2)=0,"",M25/ROUND(F25,2)),""))</f>
        <v/>
      </c>
      <c r="O25" s="35" t="str">
        <f aca="false">IF(R25&lt;&gt;"READY","",IFERROR(E25/D25,""))</f>
        <v/>
      </c>
      <c r="P25" s="34" t="str">
        <f aca="false">IF(R25&lt;&gt;"READY","",IFERROR(IF(I25=0,"",M25/I25),""))</f>
        <v/>
      </c>
      <c r="Q25" s="36" t="str">
        <f aca="false">IF(COUNTA(A25:J25)=0,"",IF(OR(R25&lt;&gt;"READY",COUNTIF(Targets!$D$5:$D$7,"READY")&lt;&gt;3),"NEEDS REVIEW",IFERROR(IF(AND(N25&lt;&gt;"",P25&lt;&gt;"",O25&lt;&gt;"",ROUND(N25,3)&gt;=ROUND(Targets!$B$5,3),ROUND(P25,2)&gt;=ROUND(Targets!$B$6,2),ROUND(O25,3)&gt;=ROUND(Targets!$B$7,3)),"MEETS TARGETS","REVIEW"),"REVIEW")))</f>
        <v/>
      </c>
      <c r="R25" s="17" t="str">
        <f aca="false">IF(COUNTA(A25:J25)=0,"",IFERROR(IF(A25="","ENTER MARKET DATE",IF(NOT(ISNUMBER(A25)),"ENTER A VALID DATE",IF(B25="","ENTER MARKET NAME",IF(C25="","ENTER PRODUCT BATCH",IF(COUNTIFS($A$5:$A$104,A25,$B$5:$B$104,B25,$C$5:$C$104,C25)&gt;1,"REMOVE DUPLICATE PRODUCT ROW",IF(OR(NOT(ISNUMBER(D25)),D25&lt;=0,D25&lt;&gt;INT(D25)),"ENTER UNITS BROUGHT AS A POSITIVE WHOLE NUMBER",IF(OR(NOT(ISNUMBER(E25)),E25&lt;0,E25&lt;&gt;INT(E25),E25&gt;D25),"CHECK WHOLE UNITS SOLD",IF(OR(NOT(ISNUMBER(F25)),F25&lt;0),"ENTER SALES AS 0 OR MORE",IF(OR(NOT(ISNUMBER(G25)),G25&lt;0),"ENTER INGREDIENT COST AS 0 OR MORE",IF(OR(NOT(ISNUMBER(H25)),H25&lt;0),"ENTER PACKAGING COST AS 0 OR MORE",IF(OR(NOT(ISNUMBER(I25)),I25&lt;0),"ENTER PRODUCT WORK HOURS AS 0 OR MORE",IF(OR(NOT(ISNUMBER(J25)),J25&lt;0),"ENTER TIME VALUE AS 0 OR MORE",IF(COUNTIFS('Market Days'!$A$5:$A$54,A25,'Market Days'!$B$5:$B$54,B25,'Market Days'!$I$5:$I$54,"READY")&lt;&gt;1,"FIX OR ADD MATCHING MARKET DAY","READY"))))))))))))),"FIX INVALID PRODUCT ENTRY"))</f>
        <v/>
      </c>
    </row>
    <row r="26" customFormat="false" ht="22" hidden="false" customHeight="true" outlineLevel="0" collapsed="false">
      <c r="A26" s="27"/>
      <c r="B26" s="28"/>
      <c r="C26" s="28"/>
      <c r="D26" s="28"/>
      <c r="E26" s="28"/>
      <c r="F26" s="19"/>
      <c r="G26" s="19"/>
      <c r="H26" s="19"/>
      <c r="I26" s="29"/>
      <c r="J26" s="19"/>
      <c r="K26" s="34" t="str">
        <f aca="false">IF(R26&lt;&gt;"READY","",IFERROR(ROUND((ROUND(SUMIFS('Market Days'!$C$5:$C$54,'Market Days'!$A$5:$A$54,A26,'Market Days'!$B$5:$B$54,B26,'Market Days'!$I$5:$I$54,"READY"),2)+ROUND(SUMIFS('Market Days'!$D$5:$D$54,'Market Days'!$A$5:$A$54,A26,'Market Days'!$B$5:$B$54,B26,'Market Days'!$I$5:$I$54,"READY"),2))/COUNTIFS($A$5:$A$104,A26,$B$5:$B$104,B26,$R$5:$R$104,"READY"),2),""))</f>
        <v/>
      </c>
      <c r="L26" s="34" t="str">
        <f aca="false">IF(R26&lt;&gt;"READY","",IFERROR(ROUND(ROUND(G26,2)+ROUND(H26,2)+ROUND(I26*ROUND(J26,2),2)+K26,2),""))</f>
        <v/>
      </c>
      <c r="M26" s="34" t="str">
        <f aca="false">IF(R26&lt;&gt;"READY","",IFERROR(ROUND(ROUND(F26,2)-L26,2),""))</f>
        <v/>
      </c>
      <c r="N26" s="35" t="str">
        <f aca="false">IF(R26&lt;&gt;"READY","",IFERROR(IF(ROUND(F26,2)=0,"",M26/ROUND(F26,2)),""))</f>
        <v/>
      </c>
      <c r="O26" s="35" t="str">
        <f aca="false">IF(R26&lt;&gt;"READY","",IFERROR(E26/D26,""))</f>
        <v/>
      </c>
      <c r="P26" s="34" t="str">
        <f aca="false">IF(R26&lt;&gt;"READY","",IFERROR(IF(I26=0,"",M26/I26),""))</f>
        <v/>
      </c>
      <c r="Q26" s="36" t="str">
        <f aca="false">IF(COUNTA(A26:J26)=0,"",IF(OR(R26&lt;&gt;"READY",COUNTIF(Targets!$D$5:$D$7,"READY")&lt;&gt;3),"NEEDS REVIEW",IFERROR(IF(AND(N26&lt;&gt;"",P26&lt;&gt;"",O26&lt;&gt;"",ROUND(N26,3)&gt;=ROUND(Targets!$B$5,3),ROUND(P26,2)&gt;=ROUND(Targets!$B$6,2),ROUND(O26,3)&gt;=ROUND(Targets!$B$7,3)),"MEETS TARGETS","REVIEW"),"REVIEW")))</f>
        <v/>
      </c>
      <c r="R26" s="17" t="str">
        <f aca="false">IF(COUNTA(A26:J26)=0,"",IFERROR(IF(A26="","ENTER MARKET DATE",IF(NOT(ISNUMBER(A26)),"ENTER A VALID DATE",IF(B26="","ENTER MARKET NAME",IF(C26="","ENTER PRODUCT BATCH",IF(COUNTIFS($A$5:$A$104,A26,$B$5:$B$104,B26,$C$5:$C$104,C26)&gt;1,"REMOVE DUPLICATE PRODUCT ROW",IF(OR(NOT(ISNUMBER(D26)),D26&lt;=0,D26&lt;&gt;INT(D26)),"ENTER UNITS BROUGHT AS A POSITIVE WHOLE NUMBER",IF(OR(NOT(ISNUMBER(E26)),E26&lt;0,E26&lt;&gt;INT(E26),E26&gt;D26),"CHECK WHOLE UNITS SOLD",IF(OR(NOT(ISNUMBER(F26)),F26&lt;0),"ENTER SALES AS 0 OR MORE",IF(OR(NOT(ISNUMBER(G26)),G26&lt;0),"ENTER INGREDIENT COST AS 0 OR MORE",IF(OR(NOT(ISNUMBER(H26)),H26&lt;0),"ENTER PACKAGING COST AS 0 OR MORE",IF(OR(NOT(ISNUMBER(I26)),I26&lt;0),"ENTER PRODUCT WORK HOURS AS 0 OR MORE",IF(OR(NOT(ISNUMBER(J26)),J26&lt;0),"ENTER TIME VALUE AS 0 OR MORE",IF(COUNTIFS('Market Days'!$A$5:$A$54,A26,'Market Days'!$B$5:$B$54,B26,'Market Days'!$I$5:$I$54,"READY")&lt;&gt;1,"FIX OR ADD MATCHING MARKET DAY","READY"))))))))))))),"FIX INVALID PRODUCT ENTRY"))</f>
        <v/>
      </c>
    </row>
    <row r="27" customFormat="false" ht="22" hidden="false" customHeight="true" outlineLevel="0" collapsed="false">
      <c r="A27" s="27"/>
      <c r="B27" s="28"/>
      <c r="C27" s="28"/>
      <c r="D27" s="28"/>
      <c r="E27" s="28"/>
      <c r="F27" s="19"/>
      <c r="G27" s="19"/>
      <c r="H27" s="19"/>
      <c r="I27" s="29"/>
      <c r="J27" s="19"/>
      <c r="K27" s="34" t="str">
        <f aca="false">IF(R27&lt;&gt;"READY","",IFERROR(ROUND((ROUND(SUMIFS('Market Days'!$C$5:$C$54,'Market Days'!$A$5:$A$54,A27,'Market Days'!$B$5:$B$54,B27,'Market Days'!$I$5:$I$54,"READY"),2)+ROUND(SUMIFS('Market Days'!$D$5:$D$54,'Market Days'!$A$5:$A$54,A27,'Market Days'!$B$5:$B$54,B27,'Market Days'!$I$5:$I$54,"READY"),2))/COUNTIFS($A$5:$A$104,A27,$B$5:$B$104,B27,$R$5:$R$104,"READY"),2),""))</f>
        <v/>
      </c>
      <c r="L27" s="34" t="str">
        <f aca="false">IF(R27&lt;&gt;"READY","",IFERROR(ROUND(ROUND(G27,2)+ROUND(H27,2)+ROUND(I27*ROUND(J27,2),2)+K27,2),""))</f>
        <v/>
      </c>
      <c r="M27" s="34" t="str">
        <f aca="false">IF(R27&lt;&gt;"READY","",IFERROR(ROUND(ROUND(F27,2)-L27,2),""))</f>
        <v/>
      </c>
      <c r="N27" s="35" t="str">
        <f aca="false">IF(R27&lt;&gt;"READY","",IFERROR(IF(ROUND(F27,2)=0,"",M27/ROUND(F27,2)),""))</f>
        <v/>
      </c>
      <c r="O27" s="35" t="str">
        <f aca="false">IF(R27&lt;&gt;"READY","",IFERROR(E27/D27,""))</f>
        <v/>
      </c>
      <c r="P27" s="34" t="str">
        <f aca="false">IF(R27&lt;&gt;"READY","",IFERROR(IF(I27=0,"",M27/I27),""))</f>
        <v/>
      </c>
      <c r="Q27" s="36" t="str">
        <f aca="false">IF(COUNTA(A27:J27)=0,"",IF(OR(R27&lt;&gt;"READY",COUNTIF(Targets!$D$5:$D$7,"READY")&lt;&gt;3),"NEEDS REVIEW",IFERROR(IF(AND(N27&lt;&gt;"",P27&lt;&gt;"",O27&lt;&gt;"",ROUND(N27,3)&gt;=ROUND(Targets!$B$5,3),ROUND(P27,2)&gt;=ROUND(Targets!$B$6,2),ROUND(O27,3)&gt;=ROUND(Targets!$B$7,3)),"MEETS TARGETS","REVIEW"),"REVIEW")))</f>
        <v/>
      </c>
      <c r="R27" s="17" t="str">
        <f aca="false">IF(COUNTA(A27:J27)=0,"",IFERROR(IF(A27="","ENTER MARKET DATE",IF(NOT(ISNUMBER(A27)),"ENTER A VALID DATE",IF(B27="","ENTER MARKET NAME",IF(C27="","ENTER PRODUCT BATCH",IF(COUNTIFS($A$5:$A$104,A27,$B$5:$B$104,B27,$C$5:$C$104,C27)&gt;1,"REMOVE DUPLICATE PRODUCT ROW",IF(OR(NOT(ISNUMBER(D27)),D27&lt;=0,D27&lt;&gt;INT(D27)),"ENTER UNITS BROUGHT AS A POSITIVE WHOLE NUMBER",IF(OR(NOT(ISNUMBER(E27)),E27&lt;0,E27&lt;&gt;INT(E27),E27&gt;D27),"CHECK WHOLE UNITS SOLD",IF(OR(NOT(ISNUMBER(F27)),F27&lt;0),"ENTER SALES AS 0 OR MORE",IF(OR(NOT(ISNUMBER(G27)),G27&lt;0),"ENTER INGREDIENT COST AS 0 OR MORE",IF(OR(NOT(ISNUMBER(H27)),H27&lt;0),"ENTER PACKAGING COST AS 0 OR MORE",IF(OR(NOT(ISNUMBER(I27)),I27&lt;0),"ENTER PRODUCT WORK HOURS AS 0 OR MORE",IF(OR(NOT(ISNUMBER(J27)),J27&lt;0),"ENTER TIME VALUE AS 0 OR MORE",IF(COUNTIFS('Market Days'!$A$5:$A$54,A27,'Market Days'!$B$5:$B$54,B27,'Market Days'!$I$5:$I$54,"READY")&lt;&gt;1,"FIX OR ADD MATCHING MARKET DAY","READY"))))))))))))),"FIX INVALID PRODUCT ENTRY"))</f>
        <v/>
      </c>
    </row>
    <row r="28" customFormat="false" ht="22" hidden="false" customHeight="true" outlineLevel="0" collapsed="false">
      <c r="A28" s="27"/>
      <c r="B28" s="28"/>
      <c r="C28" s="28"/>
      <c r="D28" s="28"/>
      <c r="E28" s="28"/>
      <c r="F28" s="19"/>
      <c r="G28" s="19"/>
      <c r="H28" s="19"/>
      <c r="I28" s="29"/>
      <c r="J28" s="19"/>
      <c r="K28" s="34" t="str">
        <f aca="false">IF(R28&lt;&gt;"READY","",IFERROR(ROUND((ROUND(SUMIFS('Market Days'!$C$5:$C$54,'Market Days'!$A$5:$A$54,A28,'Market Days'!$B$5:$B$54,B28,'Market Days'!$I$5:$I$54,"READY"),2)+ROUND(SUMIFS('Market Days'!$D$5:$D$54,'Market Days'!$A$5:$A$54,A28,'Market Days'!$B$5:$B$54,B28,'Market Days'!$I$5:$I$54,"READY"),2))/COUNTIFS($A$5:$A$104,A28,$B$5:$B$104,B28,$R$5:$R$104,"READY"),2),""))</f>
        <v/>
      </c>
      <c r="L28" s="34" t="str">
        <f aca="false">IF(R28&lt;&gt;"READY","",IFERROR(ROUND(ROUND(G28,2)+ROUND(H28,2)+ROUND(I28*ROUND(J28,2),2)+K28,2),""))</f>
        <v/>
      </c>
      <c r="M28" s="34" t="str">
        <f aca="false">IF(R28&lt;&gt;"READY","",IFERROR(ROUND(ROUND(F28,2)-L28,2),""))</f>
        <v/>
      </c>
      <c r="N28" s="35" t="str">
        <f aca="false">IF(R28&lt;&gt;"READY","",IFERROR(IF(ROUND(F28,2)=0,"",M28/ROUND(F28,2)),""))</f>
        <v/>
      </c>
      <c r="O28" s="35" t="str">
        <f aca="false">IF(R28&lt;&gt;"READY","",IFERROR(E28/D28,""))</f>
        <v/>
      </c>
      <c r="P28" s="34" t="str">
        <f aca="false">IF(R28&lt;&gt;"READY","",IFERROR(IF(I28=0,"",M28/I28),""))</f>
        <v/>
      </c>
      <c r="Q28" s="36" t="str">
        <f aca="false">IF(COUNTA(A28:J28)=0,"",IF(OR(R28&lt;&gt;"READY",COUNTIF(Targets!$D$5:$D$7,"READY")&lt;&gt;3),"NEEDS REVIEW",IFERROR(IF(AND(N28&lt;&gt;"",P28&lt;&gt;"",O28&lt;&gt;"",ROUND(N28,3)&gt;=ROUND(Targets!$B$5,3),ROUND(P28,2)&gt;=ROUND(Targets!$B$6,2),ROUND(O28,3)&gt;=ROUND(Targets!$B$7,3)),"MEETS TARGETS","REVIEW"),"REVIEW")))</f>
        <v/>
      </c>
      <c r="R28" s="17" t="str">
        <f aca="false">IF(COUNTA(A28:J28)=0,"",IFERROR(IF(A28="","ENTER MARKET DATE",IF(NOT(ISNUMBER(A28)),"ENTER A VALID DATE",IF(B28="","ENTER MARKET NAME",IF(C28="","ENTER PRODUCT BATCH",IF(COUNTIFS($A$5:$A$104,A28,$B$5:$B$104,B28,$C$5:$C$104,C28)&gt;1,"REMOVE DUPLICATE PRODUCT ROW",IF(OR(NOT(ISNUMBER(D28)),D28&lt;=0,D28&lt;&gt;INT(D28)),"ENTER UNITS BROUGHT AS A POSITIVE WHOLE NUMBER",IF(OR(NOT(ISNUMBER(E28)),E28&lt;0,E28&lt;&gt;INT(E28),E28&gt;D28),"CHECK WHOLE UNITS SOLD",IF(OR(NOT(ISNUMBER(F28)),F28&lt;0),"ENTER SALES AS 0 OR MORE",IF(OR(NOT(ISNUMBER(G28)),G28&lt;0),"ENTER INGREDIENT COST AS 0 OR MORE",IF(OR(NOT(ISNUMBER(H28)),H28&lt;0),"ENTER PACKAGING COST AS 0 OR MORE",IF(OR(NOT(ISNUMBER(I28)),I28&lt;0),"ENTER PRODUCT WORK HOURS AS 0 OR MORE",IF(OR(NOT(ISNUMBER(J28)),J28&lt;0),"ENTER TIME VALUE AS 0 OR MORE",IF(COUNTIFS('Market Days'!$A$5:$A$54,A28,'Market Days'!$B$5:$B$54,B28,'Market Days'!$I$5:$I$54,"READY")&lt;&gt;1,"FIX OR ADD MATCHING MARKET DAY","READY"))))))))))))),"FIX INVALID PRODUCT ENTRY"))</f>
        <v/>
      </c>
    </row>
    <row r="29" customFormat="false" ht="22" hidden="false" customHeight="true" outlineLevel="0" collapsed="false">
      <c r="A29" s="27"/>
      <c r="B29" s="28"/>
      <c r="C29" s="28"/>
      <c r="D29" s="28"/>
      <c r="E29" s="28"/>
      <c r="F29" s="19"/>
      <c r="G29" s="19"/>
      <c r="H29" s="19"/>
      <c r="I29" s="29"/>
      <c r="J29" s="19"/>
      <c r="K29" s="34" t="str">
        <f aca="false">IF(R29&lt;&gt;"READY","",IFERROR(ROUND((ROUND(SUMIFS('Market Days'!$C$5:$C$54,'Market Days'!$A$5:$A$54,A29,'Market Days'!$B$5:$B$54,B29,'Market Days'!$I$5:$I$54,"READY"),2)+ROUND(SUMIFS('Market Days'!$D$5:$D$54,'Market Days'!$A$5:$A$54,A29,'Market Days'!$B$5:$B$54,B29,'Market Days'!$I$5:$I$54,"READY"),2))/COUNTIFS($A$5:$A$104,A29,$B$5:$B$104,B29,$R$5:$R$104,"READY"),2),""))</f>
        <v/>
      </c>
      <c r="L29" s="34" t="str">
        <f aca="false">IF(R29&lt;&gt;"READY","",IFERROR(ROUND(ROUND(G29,2)+ROUND(H29,2)+ROUND(I29*ROUND(J29,2),2)+K29,2),""))</f>
        <v/>
      </c>
      <c r="M29" s="34" t="str">
        <f aca="false">IF(R29&lt;&gt;"READY","",IFERROR(ROUND(ROUND(F29,2)-L29,2),""))</f>
        <v/>
      </c>
      <c r="N29" s="35" t="str">
        <f aca="false">IF(R29&lt;&gt;"READY","",IFERROR(IF(ROUND(F29,2)=0,"",M29/ROUND(F29,2)),""))</f>
        <v/>
      </c>
      <c r="O29" s="35" t="str">
        <f aca="false">IF(R29&lt;&gt;"READY","",IFERROR(E29/D29,""))</f>
        <v/>
      </c>
      <c r="P29" s="34" t="str">
        <f aca="false">IF(R29&lt;&gt;"READY","",IFERROR(IF(I29=0,"",M29/I29),""))</f>
        <v/>
      </c>
      <c r="Q29" s="36" t="str">
        <f aca="false">IF(COUNTA(A29:J29)=0,"",IF(OR(R29&lt;&gt;"READY",COUNTIF(Targets!$D$5:$D$7,"READY")&lt;&gt;3),"NEEDS REVIEW",IFERROR(IF(AND(N29&lt;&gt;"",P29&lt;&gt;"",O29&lt;&gt;"",ROUND(N29,3)&gt;=ROUND(Targets!$B$5,3),ROUND(P29,2)&gt;=ROUND(Targets!$B$6,2),ROUND(O29,3)&gt;=ROUND(Targets!$B$7,3)),"MEETS TARGETS","REVIEW"),"REVIEW")))</f>
        <v/>
      </c>
      <c r="R29" s="17" t="str">
        <f aca="false">IF(COUNTA(A29:J29)=0,"",IFERROR(IF(A29="","ENTER MARKET DATE",IF(NOT(ISNUMBER(A29)),"ENTER A VALID DATE",IF(B29="","ENTER MARKET NAME",IF(C29="","ENTER PRODUCT BATCH",IF(COUNTIFS($A$5:$A$104,A29,$B$5:$B$104,B29,$C$5:$C$104,C29)&gt;1,"REMOVE DUPLICATE PRODUCT ROW",IF(OR(NOT(ISNUMBER(D29)),D29&lt;=0,D29&lt;&gt;INT(D29)),"ENTER UNITS BROUGHT AS A POSITIVE WHOLE NUMBER",IF(OR(NOT(ISNUMBER(E29)),E29&lt;0,E29&lt;&gt;INT(E29),E29&gt;D29),"CHECK WHOLE UNITS SOLD",IF(OR(NOT(ISNUMBER(F29)),F29&lt;0),"ENTER SALES AS 0 OR MORE",IF(OR(NOT(ISNUMBER(G29)),G29&lt;0),"ENTER INGREDIENT COST AS 0 OR MORE",IF(OR(NOT(ISNUMBER(H29)),H29&lt;0),"ENTER PACKAGING COST AS 0 OR MORE",IF(OR(NOT(ISNUMBER(I29)),I29&lt;0),"ENTER PRODUCT WORK HOURS AS 0 OR MORE",IF(OR(NOT(ISNUMBER(J29)),J29&lt;0),"ENTER TIME VALUE AS 0 OR MORE",IF(COUNTIFS('Market Days'!$A$5:$A$54,A29,'Market Days'!$B$5:$B$54,B29,'Market Days'!$I$5:$I$54,"READY")&lt;&gt;1,"FIX OR ADD MATCHING MARKET DAY","READY"))))))))))))),"FIX INVALID PRODUCT ENTRY"))</f>
        <v/>
      </c>
    </row>
    <row r="30" customFormat="false" ht="22" hidden="false" customHeight="true" outlineLevel="0" collapsed="false">
      <c r="A30" s="27"/>
      <c r="B30" s="28"/>
      <c r="C30" s="28"/>
      <c r="D30" s="28"/>
      <c r="E30" s="28"/>
      <c r="F30" s="19"/>
      <c r="G30" s="19"/>
      <c r="H30" s="19"/>
      <c r="I30" s="29"/>
      <c r="J30" s="19"/>
      <c r="K30" s="34" t="str">
        <f aca="false">IF(R30&lt;&gt;"READY","",IFERROR(ROUND((ROUND(SUMIFS('Market Days'!$C$5:$C$54,'Market Days'!$A$5:$A$54,A30,'Market Days'!$B$5:$B$54,B30,'Market Days'!$I$5:$I$54,"READY"),2)+ROUND(SUMIFS('Market Days'!$D$5:$D$54,'Market Days'!$A$5:$A$54,A30,'Market Days'!$B$5:$B$54,B30,'Market Days'!$I$5:$I$54,"READY"),2))/COUNTIFS($A$5:$A$104,A30,$B$5:$B$104,B30,$R$5:$R$104,"READY"),2),""))</f>
        <v/>
      </c>
      <c r="L30" s="34" t="str">
        <f aca="false">IF(R30&lt;&gt;"READY","",IFERROR(ROUND(ROUND(G30,2)+ROUND(H30,2)+ROUND(I30*ROUND(J30,2),2)+K30,2),""))</f>
        <v/>
      </c>
      <c r="M30" s="34" t="str">
        <f aca="false">IF(R30&lt;&gt;"READY","",IFERROR(ROUND(ROUND(F30,2)-L30,2),""))</f>
        <v/>
      </c>
      <c r="N30" s="35" t="str">
        <f aca="false">IF(R30&lt;&gt;"READY","",IFERROR(IF(ROUND(F30,2)=0,"",M30/ROUND(F30,2)),""))</f>
        <v/>
      </c>
      <c r="O30" s="35" t="str">
        <f aca="false">IF(R30&lt;&gt;"READY","",IFERROR(E30/D30,""))</f>
        <v/>
      </c>
      <c r="P30" s="34" t="str">
        <f aca="false">IF(R30&lt;&gt;"READY","",IFERROR(IF(I30=0,"",M30/I30),""))</f>
        <v/>
      </c>
      <c r="Q30" s="36" t="str">
        <f aca="false">IF(COUNTA(A30:J30)=0,"",IF(OR(R30&lt;&gt;"READY",COUNTIF(Targets!$D$5:$D$7,"READY")&lt;&gt;3),"NEEDS REVIEW",IFERROR(IF(AND(N30&lt;&gt;"",P30&lt;&gt;"",O30&lt;&gt;"",ROUND(N30,3)&gt;=ROUND(Targets!$B$5,3),ROUND(P30,2)&gt;=ROUND(Targets!$B$6,2),ROUND(O30,3)&gt;=ROUND(Targets!$B$7,3)),"MEETS TARGETS","REVIEW"),"REVIEW")))</f>
        <v/>
      </c>
      <c r="R30" s="17" t="str">
        <f aca="false">IF(COUNTA(A30:J30)=0,"",IFERROR(IF(A30="","ENTER MARKET DATE",IF(NOT(ISNUMBER(A30)),"ENTER A VALID DATE",IF(B30="","ENTER MARKET NAME",IF(C30="","ENTER PRODUCT BATCH",IF(COUNTIFS($A$5:$A$104,A30,$B$5:$B$104,B30,$C$5:$C$104,C30)&gt;1,"REMOVE DUPLICATE PRODUCT ROW",IF(OR(NOT(ISNUMBER(D30)),D30&lt;=0,D30&lt;&gt;INT(D30)),"ENTER UNITS BROUGHT AS A POSITIVE WHOLE NUMBER",IF(OR(NOT(ISNUMBER(E30)),E30&lt;0,E30&lt;&gt;INT(E30),E30&gt;D30),"CHECK WHOLE UNITS SOLD",IF(OR(NOT(ISNUMBER(F30)),F30&lt;0),"ENTER SALES AS 0 OR MORE",IF(OR(NOT(ISNUMBER(G30)),G30&lt;0),"ENTER INGREDIENT COST AS 0 OR MORE",IF(OR(NOT(ISNUMBER(H30)),H30&lt;0),"ENTER PACKAGING COST AS 0 OR MORE",IF(OR(NOT(ISNUMBER(I30)),I30&lt;0),"ENTER PRODUCT WORK HOURS AS 0 OR MORE",IF(OR(NOT(ISNUMBER(J30)),J30&lt;0),"ENTER TIME VALUE AS 0 OR MORE",IF(COUNTIFS('Market Days'!$A$5:$A$54,A30,'Market Days'!$B$5:$B$54,B30,'Market Days'!$I$5:$I$54,"READY")&lt;&gt;1,"FIX OR ADD MATCHING MARKET DAY","READY"))))))))))))),"FIX INVALID PRODUCT ENTRY"))</f>
        <v/>
      </c>
    </row>
    <row r="31" customFormat="false" ht="22" hidden="false" customHeight="true" outlineLevel="0" collapsed="false">
      <c r="A31" s="27"/>
      <c r="B31" s="28"/>
      <c r="C31" s="28"/>
      <c r="D31" s="28"/>
      <c r="E31" s="28"/>
      <c r="F31" s="19"/>
      <c r="G31" s="19"/>
      <c r="H31" s="19"/>
      <c r="I31" s="29"/>
      <c r="J31" s="19"/>
      <c r="K31" s="34" t="str">
        <f aca="false">IF(R31&lt;&gt;"READY","",IFERROR(ROUND((ROUND(SUMIFS('Market Days'!$C$5:$C$54,'Market Days'!$A$5:$A$54,A31,'Market Days'!$B$5:$B$54,B31,'Market Days'!$I$5:$I$54,"READY"),2)+ROUND(SUMIFS('Market Days'!$D$5:$D$54,'Market Days'!$A$5:$A$54,A31,'Market Days'!$B$5:$B$54,B31,'Market Days'!$I$5:$I$54,"READY"),2))/COUNTIFS($A$5:$A$104,A31,$B$5:$B$104,B31,$R$5:$R$104,"READY"),2),""))</f>
        <v/>
      </c>
      <c r="L31" s="34" t="str">
        <f aca="false">IF(R31&lt;&gt;"READY","",IFERROR(ROUND(ROUND(G31,2)+ROUND(H31,2)+ROUND(I31*ROUND(J31,2),2)+K31,2),""))</f>
        <v/>
      </c>
      <c r="M31" s="34" t="str">
        <f aca="false">IF(R31&lt;&gt;"READY","",IFERROR(ROUND(ROUND(F31,2)-L31,2),""))</f>
        <v/>
      </c>
      <c r="N31" s="35" t="str">
        <f aca="false">IF(R31&lt;&gt;"READY","",IFERROR(IF(ROUND(F31,2)=0,"",M31/ROUND(F31,2)),""))</f>
        <v/>
      </c>
      <c r="O31" s="35" t="str">
        <f aca="false">IF(R31&lt;&gt;"READY","",IFERROR(E31/D31,""))</f>
        <v/>
      </c>
      <c r="P31" s="34" t="str">
        <f aca="false">IF(R31&lt;&gt;"READY","",IFERROR(IF(I31=0,"",M31/I31),""))</f>
        <v/>
      </c>
      <c r="Q31" s="36" t="str">
        <f aca="false">IF(COUNTA(A31:J31)=0,"",IF(OR(R31&lt;&gt;"READY",COUNTIF(Targets!$D$5:$D$7,"READY")&lt;&gt;3),"NEEDS REVIEW",IFERROR(IF(AND(N31&lt;&gt;"",P31&lt;&gt;"",O31&lt;&gt;"",ROUND(N31,3)&gt;=ROUND(Targets!$B$5,3),ROUND(P31,2)&gt;=ROUND(Targets!$B$6,2),ROUND(O31,3)&gt;=ROUND(Targets!$B$7,3)),"MEETS TARGETS","REVIEW"),"REVIEW")))</f>
        <v/>
      </c>
      <c r="R31" s="17" t="str">
        <f aca="false">IF(COUNTA(A31:J31)=0,"",IFERROR(IF(A31="","ENTER MARKET DATE",IF(NOT(ISNUMBER(A31)),"ENTER A VALID DATE",IF(B31="","ENTER MARKET NAME",IF(C31="","ENTER PRODUCT BATCH",IF(COUNTIFS($A$5:$A$104,A31,$B$5:$B$104,B31,$C$5:$C$104,C31)&gt;1,"REMOVE DUPLICATE PRODUCT ROW",IF(OR(NOT(ISNUMBER(D31)),D31&lt;=0,D31&lt;&gt;INT(D31)),"ENTER UNITS BROUGHT AS A POSITIVE WHOLE NUMBER",IF(OR(NOT(ISNUMBER(E31)),E31&lt;0,E31&lt;&gt;INT(E31),E31&gt;D31),"CHECK WHOLE UNITS SOLD",IF(OR(NOT(ISNUMBER(F31)),F31&lt;0),"ENTER SALES AS 0 OR MORE",IF(OR(NOT(ISNUMBER(G31)),G31&lt;0),"ENTER INGREDIENT COST AS 0 OR MORE",IF(OR(NOT(ISNUMBER(H31)),H31&lt;0),"ENTER PACKAGING COST AS 0 OR MORE",IF(OR(NOT(ISNUMBER(I31)),I31&lt;0),"ENTER PRODUCT WORK HOURS AS 0 OR MORE",IF(OR(NOT(ISNUMBER(J31)),J31&lt;0),"ENTER TIME VALUE AS 0 OR MORE",IF(COUNTIFS('Market Days'!$A$5:$A$54,A31,'Market Days'!$B$5:$B$54,B31,'Market Days'!$I$5:$I$54,"READY")&lt;&gt;1,"FIX OR ADD MATCHING MARKET DAY","READY"))))))))))))),"FIX INVALID PRODUCT ENTRY"))</f>
        <v/>
      </c>
    </row>
    <row r="32" customFormat="false" ht="22" hidden="false" customHeight="true" outlineLevel="0" collapsed="false">
      <c r="A32" s="27"/>
      <c r="B32" s="28"/>
      <c r="C32" s="28"/>
      <c r="D32" s="28"/>
      <c r="E32" s="28"/>
      <c r="F32" s="19"/>
      <c r="G32" s="19"/>
      <c r="H32" s="19"/>
      <c r="I32" s="29"/>
      <c r="J32" s="19"/>
      <c r="K32" s="34" t="str">
        <f aca="false">IF(R32&lt;&gt;"READY","",IFERROR(ROUND((ROUND(SUMIFS('Market Days'!$C$5:$C$54,'Market Days'!$A$5:$A$54,A32,'Market Days'!$B$5:$B$54,B32,'Market Days'!$I$5:$I$54,"READY"),2)+ROUND(SUMIFS('Market Days'!$D$5:$D$54,'Market Days'!$A$5:$A$54,A32,'Market Days'!$B$5:$B$54,B32,'Market Days'!$I$5:$I$54,"READY"),2))/COUNTIFS($A$5:$A$104,A32,$B$5:$B$104,B32,$R$5:$R$104,"READY"),2),""))</f>
        <v/>
      </c>
      <c r="L32" s="34" t="str">
        <f aca="false">IF(R32&lt;&gt;"READY","",IFERROR(ROUND(ROUND(G32,2)+ROUND(H32,2)+ROUND(I32*ROUND(J32,2),2)+K32,2),""))</f>
        <v/>
      </c>
      <c r="M32" s="34" t="str">
        <f aca="false">IF(R32&lt;&gt;"READY","",IFERROR(ROUND(ROUND(F32,2)-L32,2),""))</f>
        <v/>
      </c>
      <c r="N32" s="35" t="str">
        <f aca="false">IF(R32&lt;&gt;"READY","",IFERROR(IF(ROUND(F32,2)=0,"",M32/ROUND(F32,2)),""))</f>
        <v/>
      </c>
      <c r="O32" s="35" t="str">
        <f aca="false">IF(R32&lt;&gt;"READY","",IFERROR(E32/D32,""))</f>
        <v/>
      </c>
      <c r="P32" s="34" t="str">
        <f aca="false">IF(R32&lt;&gt;"READY","",IFERROR(IF(I32=0,"",M32/I32),""))</f>
        <v/>
      </c>
      <c r="Q32" s="36" t="str">
        <f aca="false">IF(COUNTA(A32:J32)=0,"",IF(OR(R32&lt;&gt;"READY",COUNTIF(Targets!$D$5:$D$7,"READY")&lt;&gt;3),"NEEDS REVIEW",IFERROR(IF(AND(N32&lt;&gt;"",P32&lt;&gt;"",O32&lt;&gt;"",ROUND(N32,3)&gt;=ROUND(Targets!$B$5,3),ROUND(P32,2)&gt;=ROUND(Targets!$B$6,2),ROUND(O32,3)&gt;=ROUND(Targets!$B$7,3)),"MEETS TARGETS","REVIEW"),"REVIEW")))</f>
        <v/>
      </c>
      <c r="R32" s="17" t="str">
        <f aca="false">IF(COUNTA(A32:J32)=0,"",IFERROR(IF(A32="","ENTER MARKET DATE",IF(NOT(ISNUMBER(A32)),"ENTER A VALID DATE",IF(B32="","ENTER MARKET NAME",IF(C32="","ENTER PRODUCT BATCH",IF(COUNTIFS($A$5:$A$104,A32,$B$5:$B$104,B32,$C$5:$C$104,C32)&gt;1,"REMOVE DUPLICATE PRODUCT ROW",IF(OR(NOT(ISNUMBER(D32)),D32&lt;=0,D32&lt;&gt;INT(D32)),"ENTER UNITS BROUGHT AS A POSITIVE WHOLE NUMBER",IF(OR(NOT(ISNUMBER(E32)),E32&lt;0,E32&lt;&gt;INT(E32),E32&gt;D32),"CHECK WHOLE UNITS SOLD",IF(OR(NOT(ISNUMBER(F32)),F32&lt;0),"ENTER SALES AS 0 OR MORE",IF(OR(NOT(ISNUMBER(G32)),G32&lt;0),"ENTER INGREDIENT COST AS 0 OR MORE",IF(OR(NOT(ISNUMBER(H32)),H32&lt;0),"ENTER PACKAGING COST AS 0 OR MORE",IF(OR(NOT(ISNUMBER(I32)),I32&lt;0),"ENTER PRODUCT WORK HOURS AS 0 OR MORE",IF(OR(NOT(ISNUMBER(J32)),J32&lt;0),"ENTER TIME VALUE AS 0 OR MORE",IF(COUNTIFS('Market Days'!$A$5:$A$54,A32,'Market Days'!$B$5:$B$54,B32,'Market Days'!$I$5:$I$54,"READY")&lt;&gt;1,"FIX OR ADD MATCHING MARKET DAY","READY"))))))))))))),"FIX INVALID PRODUCT ENTRY"))</f>
        <v/>
      </c>
    </row>
    <row r="33" customFormat="false" ht="22" hidden="false" customHeight="true" outlineLevel="0" collapsed="false">
      <c r="A33" s="27"/>
      <c r="B33" s="28"/>
      <c r="C33" s="28"/>
      <c r="D33" s="28"/>
      <c r="E33" s="28"/>
      <c r="F33" s="19"/>
      <c r="G33" s="19"/>
      <c r="H33" s="19"/>
      <c r="I33" s="29"/>
      <c r="J33" s="19"/>
      <c r="K33" s="34" t="str">
        <f aca="false">IF(R33&lt;&gt;"READY","",IFERROR(ROUND((ROUND(SUMIFS('Market Days'!$C$5:$C$54,'Market Days'!$A$5:$A$54,A33,'Market Days'!$B$5:$B$54,B33,'Market Days'!$I$5:$I$54,"READY"),2)+ROUND(SUMIFS('Market Days'!$D$5:$D$54,'Market Days'!$A$5:$A$54,A33,'Market Days'!$B$5:$B$54,B33,'Market Days'!$I$5:$I$54,"READY"),2))/COUNTIFS($A$5:$A$104,A33,$B$5:$B$104,B33,$R$5:$R$104,"READY"),2),""))</f>
        <v/>
      </c>
      <c r="L33" s="34" t="str">
        <f aca="false">IF(R33&lt;&gt;"READY","",IFERROR(ROUND(ROUND(G33,2)+ROUND(H33,2)+ROUND(I33*ROUND(J33,2),2)+K33,2),""))</f>
        <v/>
      </c>
      <c r="M33" s="34" t="str">
        <f aca="false">IF(R33&lt;&gt;"READY","",IFERROR(ROUND(ROUND(F33,2)-L33,2),""))</f>
        <v/>
      </c>
      <c r="N33" s="35" t="str">
        <f aca="false">IF(R33&lt;&gt;"READY","",IFERROR(IF(ROUND(F33,2)=0,"",M33/ROUND(F33,2)),""))</f>
        <v/>
      </c>
      <c r="O33" s="35" t="str">
        <f aca="false">IF(R33&lt;&gt;"READY","",IFERROR(E33/D33,""))</f>
        <v/>
      </c>
      <c r="P33" s="34" t="str">
        <f aca="false">IF(R33&lt;&gt;"READY","",IFERROR(IF(I33=0,"",M33/I33),""))</f>
        <v/>
      </c>
      <c r="Q33" s="36" t="str">
        <f aca="false">IF(COUNTA(A33:J33)=0,"",IF(OR(R33&lt;&gt;"READY",COUNTIF(Targets!$D$5:$D$7,"READY")&lt;&gt;3),"NEEDS REVIEW",IFERROR(IF(AND(N33&lt;&gt;"",P33&lt;&gt;"",O33&lt;&gt;"",ROUND(N33,3)&gt;=ROUND(Targets!$B$5,3),ROUND(P33,2)&gt;=ROUND(Targets!$B$6,2),ROUND(O33,3)&gt;=ROUND(Targets!$B$7,3)),"MEETS TARGETS","REVIEW"),"REVIEW")))</f>
        <v/>
      </c>
      <c r="R33" s="17" t="str">
        <f aca="false">IF(COUNTA(A33:J33)=0,"",IFERROR(IF(A33="","ENTER MARKET DATE",IF(NOT(ISNUMBER(A33)),"ENTER A VALID DATE",IF(B33="","ENTER MARKET NAME",IF(C33="","ENTER PRODUCT BATCH",IF(COUNTIFS($A$5:$A$104,A33,$B$5:$B$104,B33,$C$5:$C$104,C33)&gt;1,"REMOVE DUPLICATE PRODUCT ROW",IF(OR(NOT(ISNUMBER(D33)),D33&lt;=0,D33&lt;&gt;INT(D33)),"ENTER UNITS BROUGHT AS A POSITIVE WHOLE NUMBER",IF(OR(NOT(ISNUMBER(E33)),E33&lt;0,E33&lt;&gt;INT(E33),E33&gt;D33),"CHECK WHOLE UNITS SOLD",IF(OR(NOT(ISNUMBER(F33)),F33&lt;0),"ENTER SALES AS 0 OR MORE",IF(OR(NOT(ISNUMBER(G33)),G33&lt;0),"ENTER INGREDIENT COST AS 0 OR MORE",IF(OR(NOT(ISNUMBER(H33)),H33&lt;0),"ENTER PACKAGING COST AS 0 OR MORE",IF(OR(NOT(ISNUMBER(I33)),I33&lt;0),"ENTER PRODUCT WORK HOURS AS 0 OR MORE",IF(OR(NOT(ISNUMBER(J33)),J33&lt;0),"ENTER TIME VALUE AS 0 OR MORE",IF(COUNTIFS('Market Days'!$A$5:$A$54,A33,'Market Days'!$B$5:$B$54,B33,'Market Days'!$I$5:$I$54,"READY")&lt;&gt;1,"FIX OR ADD MATCHING MARKET DAY","READY"))))))))))))),"FIX INVALID PRODUCT ENTRY"))</f>
        <v/>
      </c>
    </row>
    <row r="34" customFormat="false" ht="22" hidden="false" customHeight="true" outlineLevel="0" collapsed="false">
      <c r="A34" s="27"/>
      <c r="B34" s="28"/>
      <c r="C34" s="28"/>
      <c r="D34" s="28"/>
      <c r="E34" s="28"/>
      <c r="F34" s="19"/>
      <c r="G34" s="19"/>
      <c r="H34" s="19"/>
      <c r="I34" s="29"/>
      <c r="J34" s="19"/>
      <c r="K34" s="34" t="str">
        <f aca="false">IF(R34&lt;&gt;"READY","",IFERROR(ROUND((ROUND(SUMIFS('Market Days'!$C$5:$C$54,'Market Days'!$A$5:$A$54,A34,'Market Days'!$B$5:$B$54,B34,'Market Days'!$I$5:$I$54,"READY"),2)+ROUND(SUMIFS('Market Days'!$D$5:$D$54,'Market Days'!$A$5:$A$54,A34,'Market Days'!$B$5:$B$54,B34,'Market Days'!$I$5:$I$54,"READY"),2))/COUNTIFS($A$5:$A$104,A34,$B$5:$B$104,B34,$R$5:$R$104,"READY"),2),""))</f>
        <v/>
      </c>
      <c r="L34" s="34" t="str">
        <f aca="false">IF(R34&lt;&gt;"READY","",IFERROR(ROUND(ROUND(G34,2)+ROUND(H34,2)+ROUND(I34*ROUND(J34,2),2)+K34,2),""))</f>
        <v/>
      </c>
      <c r="M34" s="34" t="str">
        <f aca="false">IF(R34&lt;&gt;"READY","",IFERROR(ROUND(ROUND(F34,2)-L34,2),""))</f>
        <v/>
      </c>
      <c r="N34" s="35" t="str">
        <f aca="false">IF(R34&lt;&gt;"READY","",IFERROR(IF(ROUND(F34,2)=0,"",M34/ROUND(F34,2)),""))</f>
        <v/>
      </c>
      <c r="O34" s="35" t="str">
        <f aca="false">IF(R34&lt;&gt;"READY","",IFERROR(E34/D34,""))</f>
        <v/>
      </c>
      <c r="P34" s="34" t="str">
        <f aca="false">IF(R34&lt;&gt;"READY","",IFERROR(IF(I34=0,"",M34/I34),""))</f>
        <v/>
      </c>
      <c r="Q34" s="36" t="str">
        <f aca="false">IF(COUNTA(A34:J34)=0,"",IF(OR(R34&lt;&gt;"READY",COUNTIF(Targets!$D$5:$D$7,"READY")&lt;&gt;3),"NEEDS REVIEW",IFERROR(IF(AND(N34&lt;&gt;"",P34&lt;&gt;"",O34&lt;&gt;"",ROUND(N34,3)&gt;=ROUND(Targets!$B$5,3),ROUND(P34,2)&gt;=ROUND(Targets!$B$6,2),ROUND(O34,3)&gt;=ROUND(Targets!$B$7,3)),"MEETS TARGETS","REVIEW"),"REVIEW")))</f>
        <v/>
      </c>
      <c r="R34" s="17" t="str">
        <f aca="false">IF(COUNTA(A34:J34)=0,"",IFERROR(IF(A34="","ENTER MARKET DATE",IF(NOT(ISNUMBER(A34)),"ENTER A VALID DATE",IF(B34="","ENTER MARKET NAME",IF(C34="","ENTER PRODUCT BATCH",IF(COUNTIFS($A$5:$A$104,A34,$B$5:$B$104,B34,$C$5:$C$104,C34)&gt;1,"REMOVE DUPLICATE PRODUCT ROW",IF(OR(NOT(ISNUMBER(D34)),D34&lt;=0,D34&lt;&gt;INT(D34)),"ENTER UNITS BROUGHT AS A POSITIVE WHOLE NUMBER",IF(OR(NOT(ISNUMBER(E34)),E34&lt;0,E34&lt;&gt;INT(E34),E34&gt;D34),"CHECK WHOLE UNITS SOLD",IF(OR(NOT(ISNUMBER(F34)),F34&lt;0),"ENTER SALES AS 0 OR MORE",IF(OR(NOT(ISNUMBER(G34)),G34&lt;0),"ENTER INGREDIENT COST AS 0 OR MORE",IF(OR(NOT(ISNUMBER(H34)),H34&lt;0),"ENTER PACKAGING COST AS 0 OR MORE",IF(OR(NOT(ISNUMBER(I34)),I34&lt;0),"ENTER PRODUCT WORK HOURS AS 0 OR MORE",IF(OR(NOT(ISNUMBER(J34)),J34&lt;0),"ENTER TIME VALUE AS 0 OR MORE",IF(COUNTIFS('Market Days'!$A$5:$A$54,A34,'Market Days'!$B$5:$B$54,B34,'Market Days'!$I$5:$I$54,"READY")&lt;&gt;1,"FIX OR ADD MATCHING MARKET DAY","READY"))))))))))))),"FIX INVALID PRODUCT ENTRY"))</f>
        <v/>
      </c>
    </row>
    <row r="35" customFormat="false" ht="22" hidden="false" customHeight="true" outlineLevel="0" collapsed="false">
      <c r="A35" s="27"/>
      <c r="B35" s="28"/>
      <c r="C35" s="28"/>
      <c r="D35" s="28"/>
      <c r="E35" s="28"/>
      <c r="F35" s="19"/>
      <c r="G35" s="19"/>
      <c r="H35" s="19"/>
      <c r="I35" s="29"/>
      <c r="J35" s="19"/>
      <c r="K35" s="34" t="str">
        <f aca="false">IF(R35&lt;&gt;"READY","",IFERROR(ROUND((ROUND(SUMIFS('Market Days'!$C$5:$C$54,'Market Days'!$A$5:$A$54,A35,'Market Days'!$B$5:$B$54,B35,'Market Days'!$I$5:$I$54,"READY"),2)+ROUND(SUMIFS('Market Days'!$D$5:$D$54,'Market Days'!$A$5:$A$54,A35,'Market Days'!$B$5:$B$54,B35,'Market Days'!$I$5:$I$54,"READY"),2))/COUNTIFS($A$5:$A$104,A35,$B$5:$B$104,B35,$R$5:$R$104,"READY"),2),""))</f>
        <v/>
      </c>
      <c r="L35" s="34" t="str">
        <f aca="false">IF(R35&lt;&gt;"READY","",IFERROR(ROUND(ROUND(G35,2)+ROUND(H35,2)+ROUND(I35*ROUND(J35,2),2)+K35,2),""))</f>
        <v/>
      </c>
      <c r="M35" s="34" t="str">
        <f aca="false">IF(R35&lt;&gt;"READY","",IFERROR(ROUND(ROUND(F35,2)-L35,2),""))</f>
        <v/>
      </c>
      <c r="N35" s="35" t="str">
        <f aca="false">IF(R35&lt;&gt;"READY","",IFERROR(IF(ROUND(F35,2)=0,"",M35/ROUND(F35,2)),""))</f>
        <v/>
      </c>
      <c r="O35" s="35" t="str">
        <f aca="false">IF(R35&lt;&gt;"READY","",IFERROR(E35/D35,""))</f>
        <v/>
      </c>
      <c r="P35" s="34" t="str">
        <f aca="false">IF(R35&lt;&gt;"READY","",IFERROR(IF(I35=0,"",M35/I35),""))</f>
        <v/>
      </c>
      <c r="Q35" s="36" t="str">
        <f aca="false">IF(COUNTA(A35:J35)=0,"",IF(OR(R35&lt;&gt;"READY",COUNTIF(Targets!$D$5:$D$7,"READY")&lt;&gt;3),"NEEDS REVIEW",IFERROR(IF(AND(N35&lt;&gt;"",P35&lt;&gt;"",O35&lt;&gt;"",ROUND(N35,3)&gt;=ROUND(Targets!$B$5,3),ROUND(P35,2)&gt;=ROUND(Targets!$B$6,2),ROUND(O35,3)&gt;=ROUND(Targets!$B$7,3)),"MEETS TARGETS","REVIEW"),"REVIEW")))</f>
        <v/>
      </c>
      <c r="R35" s="17" t="str">
        <f aca="false">IF(COUNTA(A35:J35)=0,"",IFERROR(IF(A35="","ENTER MARKET DATE",IF(NOT(ISNUMBER(A35)),"ENTER A VALID DATE",IF(B35="","ENTER MARKET NAME",IF(C35="","ENTER PRODUCT BATCH",IF(COUNTIFS($A$5:$A$104,A35,$B$5:$B$104,B35,$C$5:$C$104,C35)&gt;1,"REMOVE DUPLICATE PRODUCT ROW",IF(OR(NOT(ISNUMBER(D35)),D35&lt;=0,D35&lt;&gt;INT(D35)),"ENTER UNITS BROUGHT AS A POSITIVE WHOLE NUMBER",IF(OR(NOT(ISNUMBER(E35)),E35&lt;0,E35&lt;&gt;INT(E35),E35&gt;D35),"CHECK WHOLE UNITS SOLD",IF(OR(NOT(ISNUMBER(F35)),F35&lt;0),"ENTER SALES AS 0 OR MORE",IF(OR(NOT(ISNUMBER(G35)),G35&lt;0),"ENTER INGREDIENT COST AS 0 OR MORE",IF(OR(NOT(ISNUMBER(H35)),H35&lt;0),"ENTER PACKAGING COST AS 0 OR MORE",IF(OR(NOT(ISNUMBER(I35)),I35&lt;0),"ENTER PRODUCT WORK HOURS AS 0 OR MORE",IF(OR(NOT(ISNUMBER(J35)),J35&lt;0),"ENTER TIME VALUE AS 0 OR MORE",IF(COUNTIFS('Market Days'!$A$5:$A$54,A35,'Market Days'!$B$5:$B$54,B35,'Market Days'!$I$5:$I$54,"READY")&lt;&gt;1,"FIX OR ADD MATCHING MARKET DAY","READY"))))))))))))),"FIX INVALID PRODUCT ENTRY"))</f>
        <v/>
      </c>
    </row>
    <row r="36" customFormat="false" ht="22" hidden="false" customHeight="true" outlineLevel="0" collapsed="false">
      <c r="A36" s="27"/>
      <c r="B36" s="28"/>
      <c r="C36" s="28"/>
      <c r="D36" s="28"/>
      <c r="E36" s="28"/>
      <c r="F36" s="19"/>
      <c r="G36" s="19"/>
      <c r="H36" s="19"/>
      <c r="I36" s="29"/>
      <c r="J36" s="19"/>
      <c r="K36" s="34" t="str">
        <f aca="false">IF(R36&lt;&gt;"READY","",IFERROR(ROUND((ROUND(SUMIFS('Market Days'!$C$5:$C$54,'Market Days'!$A$5:$A$54,A36,'Market Days'!$B$5:$B$54,B36,'Market Days'!$I$5:$I$54,"READY"),2)+ROUND(SUMIFS('Market Days'!$D$5:$D$54,'Market Days'!$A$5:$A$54,A36,'Market Days'!$B$5:$B$54,B36,'Market Days'!$I$5:$I$54,"READY"),2))/COUNTIFS($A$5:$A$104,A36,$B$5:$B$104,B36,$R$5:$R$104,"READY"),2),""))</f>
        <v/>
      </c>
      <c r="L36" s="34" t="str">
        <f aca="false">IF(R36&lt;&gt;"READY","",IFERROR(ROUND(ROUND(G36,2)+ROUND(H36,2)+ROUND(I36*ROUND(J36,2),2)+K36,2),""))</f>
        <v/>
      </c>
      <c r="M36" s="34" t="str">
        <f aca="false">IF(R36&lt;&gt;"READY","",IFERROR(ROUND(ROUND(F36,2)-L36,2),""))</f>
        <v/>
      </c>
      <c r="N36" s="35" t="str">
        <f aca="false">IF(R36&lt;&gt;"READY","",IFERROR(IF(ROUND(F36,2)=0,"",M36/ROUND(F36,2)),""))</f>
        <v/>
      </c>
      <c r="O36" s="35" t="str">
        <f aca="false">IF(R36&lt;&gt;"READY","",IFERROR(E36/D36,""))</f>
        <v/>
      </c>
      <c r="P36" s="34" t="str">
        <f aca="false">IF(R36&lt;&gt;"READY","",IFERROR(IF(I36=0,"",M36/I36),""))</f>
        <v/>
      </c>
      <c r="Q36" s="36" t="str">
        <f aca="false">IF(COUNTA(A36:J36)=0,"",IF(OR(R36&lt;&gt;"READY",COUNTIF(Targets!$D$5:$D$7,"READY")&lt;&gt;3),"NEEDS REVIEW",IFERROR(IF(AND(N36&lt;&gt;"",P36&lt;&gt;"",O36&lt;&gt;"",ROUND(N36,3)&gt;=ROUND(Targets!$B$5,3),ROUND(P36,2)&gt;=ROUND(Targets!$B$6,2),ROUND(O36,3)&gt;=ROUND(Targets!$B$7,3)),"MEETS TARGETS","REVIEW"),"REVIEW")))</f>
        <v/>
      </c>
      <c r="R36" s="17" t="str">
        <f aca="false">IF(COUNTA(A36:J36)=0,"",IFERROR(IF(A36="","ENTER MARKET DATE",IF(NOT(ISNUMBER(A36)),"ENTER A VALID DATE",IF(B36="","ENTER MARKET NAME",IF(C36="","ENTER PRODUCT BATCH",IF(COUNTIFS($A$5:$A$104,A36,$B$5:$B$104,B36,$C$5:$C$104,C36)&gt;1,"REMOVE DUPLICATE PRODUCT ROW",IF(OR(NOT(ISNUMBER(D36)),D36&lt;=0,D36&lt;&gt;INT(D36)),"ENTER UNITS BROUGHT AS A POSITIVE WHOLE NUMBER",IF(OR(NOT(ISNUMBER(E36)),E36&lt;0,E36&lt;&gt;INT(E36),E36&gt;D36),"CHECK WHOLE UNITS SOLD",IF(OR(NOT(ISNUMBER(F36)),F36&lt;0),"ENTER SALES AS 0 OR MORE",IF(OR(NOT(ISNUMBER(G36)),G36&lt;0),"ENTER INGREDIENT COST AS 0 OR MORE",IF(OR(NOT(ISNUMBER(H36)),H36&lt;0),"ENTER PACKAGING COST AS 0 OR MORE",IF(OR(NOT(ISNUMBER(I36)),I36&lt;0),"ENTER PRODUCT WORK HOURS AS 0 OR MORE",IF(OR(NOT(ISNUMBER(J36)),J36&lt;0),"ENTER TIME VALUE AS 0 OR MORE",IF(COUNTIFS('Market Days'!$A$5:$A$54,A36,'Market Days'!$B$5:$B$54,B36,'Market Days'!$I$5:$I$54,"READY")&lt;&gt;1,"FIX OR ADD MATCHING MARKET DAY","READY"))))))))))))),"FIX INVALID PRODUCT ENTRY"))</f>
        <v/>
      </c>
    </row>
    <row r="37" customFormat="false" ht="22" hidden="false" customHeight="true" outlineLevel="0" collapsed="false">
      <c r="A37" s="27"/>
      <c r="B37" s="28"/>
      <c r="C37" s="28"/>
      <c r="D37" s="28"/>
      <c r="E37" s="28"/>
      <c r="F37" s="19"/>
      <c r="G37" s="19"/>
      <c r="H37" s="19"/>
      <c r="I37" s="29"/>
      <c r="J37" s="19"/>
      <c r="K37" s="34" t="str">
        <f aca="false">IF(R37&lt;&gt;"READY","",IFERROR(ROUND((ROUND(SUMIFS('Market Days'!$C$5:$C$54,'Market Days'!$A$5:$A$54,A37,'Market Days'!$B$5:$B$54,B37,'Market Days'!$I$5:$I$54,"READY"),2)+ROUND(SUMIFS('Market Days'!$D$5:$D$54,'Market Days'!$A$5:$A$54,A37,'Market Days'!$B$5:$B$54,B37,'Market Days'!$I$5:$I$54,"READY"),2))/COUNTIFS($A$5:$A$104,A37,$B$5:$B$104,B37,$R$5:$R$104,"READY"),2),""))</f>
        <v/>
      </c>
      <c r="L37" s="34" t="str">
        <f aca="false">IF(R37&lt;&gt;"READY","",IFERROR(ROUND(ROUND(G37,2)+ROUND(H37,2)+ROUND(I37*ROUND(J37,2),2)+K37,2),""))</f>
        <v/>
      </c>
      <c r="M37" s="34" t="str">
        <f aca="false">IF(R37&lt;&gt;"READY","",IFERROR(ROUND(ROUND(F37,2)-L37,2),""))</f>
        <v/>
      </c>
      <c r="N37" s="35" t="str">
        <f aca="false">IF(R37&lt;&gt;"READY","",IFERROR(IF(ROUND(F37,2)=0,"",M37/ROUND(F37,2)),""))</f>
        <v/>
      </c>
      <c r="O37" s="35" t="str">
        <f aca="false">IF(R37&lt;&gt;"READY","",IFERROR(E37/D37,""))</f>
        <v/>
      </c>
      <c r="P37" s="34" t="str">
        <f aca="false">IF(R37&lt;&gt;"READY","",IFERROR(IF(I37=0,"",M37/I37),""))</f>
        <v/>
      </c>
      <c r="Q37" s="36" t="str">
        <f aca="false">IF(COUNTA(A37:J37)=0,"",IF(OR(R37&lt;&gt;"READY",COUNTIF(Targets!$D$5:$D$7,"READY")&lt;&gt;3),"NEEDS REVIEW",IFERROR(IF(AND(N37&lt;&gt;"",P37&lt;&gt;"",O37&lt;&gt;"",ROUND(N37,3)&gt;=ROUND(Targets!$B$5,3),ROUND(P37,2)&gt;=ROUND(Targets!$B$6,2),ROUND(O37,3)&gt;=ROUND(Targets!$B$7,3)),"MEETS TARGETS","REVIEW"),"REVIEW")))</f>
        <v/>
      </c>
      <c r="R37" s="17" t="str">
        <f aca="false">IF(COUNTA(A37:J37)=0,"",IFERROR(IF(A37="","ENTER MARKET DATE",IF(NOT(ISNUMBER(A37)),"ENTER A VALID DATE",IF(B37="","ENTER MARKET NAME",IF(C37="","ENTER PRODUCT BATCH",IF(COUNTIFS($A$5:$A$104,A37,$B$5:$B$104,B37,$C$5:$C$104,C37)&gt;1,"REMOVE DUPLICATE PRODUCT ROW",IF(OR(NOT(ISNUMBER(D37)),D37&lt;=0,D37&lt;&gt;INT(D37)),"ENTER UNITS BROUGHT AS A POSITIVE WHOLE NUMBER",IF(OR(NOT(ISNUMBER(E37)),E37&lt;0,E37&lt;&gt;INT(E37),E37&gt;D37),"CHECK WHOLE UNITS SOLD",IF(OR(NOT(ISNUMBER(F37)),F37&lt;0),"ENTER SALES AS 0 OR MORE",IF(OR(NOT(ISNUMBER(G37)),G37&lt;0),"ENTER INGREDIENT COST AS 0 OR MORE",IF(OR(NOT(ISNUMBER(H37)),H37&lt;0),"ENTER PACKAGING COST AS 0 OR MORE",IF(OR(NOT(ISNUMBER(I37)),I37&lt;0),"ENTER PRODUCT WORK HOURS AS 0 OR MORE",IF(OR(NOT(ISNUMBER(J37)),J37&lt;0),"ENTER TIME VALUE AS 0 OR MORE",IF(COUNTIFS('Market Days'!$A$5:$A$54,A37,'Market Days'!$B$5:$B$54,B37,'Market Days'!$I$5:$I$54,"READY")&lt;&gt;1,"FIX OR ADD MATCHING MARKET DAY","READY"))))))))))))),"FIX INVALID PRODUCT ENTRY"))</f>
        <v/>
      </c>
    </row>
    <row r="38" customFormat="false" ht="22" hidden="false" customHeight="true" outlineLevel="0" collapsed="false">
      <c r="A38" s="27"/>
      <c r="B38" s="28"/>
      <c r="C38" s="28"/>
      <c r="D38" s="28"/>
      <c r="E38" s="28"/>
      <c r="F38" s="19"/>
      <c r="G38" s="19"/>
      <c r="H38" s="19"/>
      <c r="I38" s="29"/>
      <c r="J38" s="19"/>
      <c r="K38" s="34" t="str">
        <f aca="false">IF(R38&lt;&gt;"READY","",IFERROR(ROUND((ROUND(SUMIFS('Market Days'!$C$5:$C$54,'Market Days'!$A$5:$A$54,A38,'Market Days'!$B$5:$B$54,B38,'Market Days'!$I$5:$I$54,"READY"),2)+ROUND(SUMIFS('Market Days'!$D$5:$D$54,'Market Days'!$A$5:$A$54,A38,'Market Days'!$B$5:$B$54,B38,'Market Days'!$I$5:$I$54,"READY"),2))/COUNTIFS($A$5:$A$104,A38,$B$5:$B$104,B38,$R$5:$R$104,"READY"),2),""))</f>
        <v/>
      </c>
      <c r="L38" s="34" t="str">
        <f aca="false">IF(R38&lt;&gt;"READY","",IFERROR(ROUND(ROUND(G38,2)+ROUND(H38,2)+ROUND(I38*ROUND(J38,2),2)+K38,2),""))</f>
        <v/>
      </c>
      <c r="M38" s="34" t="str">
        <f aca="false">IF(R38&lt;&gt;"READY","",IFERROR(ROUND(ROUND(F38,2)-L38,2),""))</f>
        <v/>
      </c>
      <c r="N38" s="35" t="str">
        <f aca="false">IF(R38&lt;&gt;"READY","",IFERROR(IF(ROUND(F38,2)=0,"",M38/ROUND(F38,2)),""))</f>
        <v/>
      </c>
      <c r="O38" s="35" t="str">
        <f aca="false">IF(R38&lt;&gt;"READY","",IFERROR(E38/D38,""))</f>
        <v/>
      </c>
      <c r="P38" s="34" t="str">
        <f aca="false">IF(R38&lt;&gt;"READY","",IFERROR(IF(I38=0,"",M38/I38),""))</f>
        <v/>
      </c>
      <c r="Q38" s="36" t="str">
        <f aca="false">IF(COUNTA(A38:J38)=0,"",IF(OR(R38&lt;&gt;"READY",COUNTIF(Targets!$D$5:$D$7,"READY")&lt;&gt;3),"NEEDS REVIEW",IFERROR(IF(AND(N38&lt;&gt;"",P38&lt;&gt;"",O38&lt;&gt;"",ROUND(N38,3)&gt;=ROUND(Targets!$B$5,3),ROUND(P38,2)&gt;=ROUND(Targets!$B$6,2),ROUND(O38,3)&gt;=ROUND(Targets!$B$7,3)),"MEETS TARGETS","REVIEW"),"REVIEW")))</f>
        <v/>
      </c>
      <c r="R38" s="17" t="str">
        <f aca="false">IF(COUNTA(A38:J38)=0,"",IFERROR(IF(A38="","ENTER MARKET DATE",IF(NOT(ISNUMBER(A38)),"ENTER A VALID DATE",IF(B38="","ENTER MARKET NAME",IF(C38="","ENTER PRODUCT BATCH",IF(COUNTIFS($A$5:$A$104,A38,$B$5:$B$104,B38,$C$5:$C$104,C38)&gt;1,"REMOVE DUPLICATE PRODUCT ROW",IF(OR(NOT(ISNUMBER(D38)),D38&lt;=0,D38&lt;&gt;INT(D38)),"ENTER UNITS BROUGHT AS A POSITIVE WHOLE NUMBER",IF(OR(NOT(ISNUMBER(E38)),E38&lt;0,E38&lt;&gt;INT(E38),E38&gt;D38),"CHECK WHOLE UNITS SOLD",IF(OR(NOT(ISNUMBER(F38)),F38&lt;0),"ENTER SALES AS 0 OR MORE",IF(OR(NOT(ISNUMBER(G38)),G38&lt;0),"ENTER INGREDIENT COST AS 0 OR MORE",IF(OR(NOT(ISNUMBER(H38)),H38&lt;0),"ENTER PACKAGING COST AS 0 OR MORE",IF(OR(NOT(ISNUMBER(I38)),I38&lt;0),"ENTER PRODUCT WORK HOURS AS 0 OR MORE",IF(OR(NOT(ISNUMBER(J38)),J38&lt;0),"ENTER TIME VALUE AS 0 OR MORE",IF(COUNTIFS('Market Days'!$A$5:$A$54,A38,'Market Days'!$B$5:$B$54,B38,'Market Days'!$I$5:$I$54,"READY")&lt;&gt;1,"FIX OR ADD MATCHING MARKET DAY","READY"))))))))))))),"FIX INVALID PRODUCT ENTRY"))</f>
        <v/>
      </c>
    </row>
    <row r="39" customFormat="false" ht="22" hidden="false" customHeight="true" outlineLevel="0" collapsed="false">
      <c r="A39" s="27"/>
      <c r="B39" s="28"/>
      <c r="C39" s="28"/>
      <c r="D39" s="28"/>
      <c r="E39" s="28"/>
      <c r="F39" s="19"/>
      <c r="G39" s="19"/>
      <c r="H39" s="19"/>
      <c r="I39" s="29"/>
      <c r="J39" s="19"/>
      <c r="K39" s="34" t="str">
        <f aca="false">IF(R39&lt;&gt;"READY","",IFERROR(ROUND((ROUND(SUMIFS('Market Days'!$C$5:$C$54,'Market Days'!$A$5:$A$54,A39,'Market Days'!$B$5:$B$54,B39,'Market Days'!$I$5:$I$54,"READY"),2)+ROUND(SUMIFS('Market Days'!$D$5:$D$54,'Market Days'!$A$5:$A$54,A39,'Market Days'!$B$5:$B$54,B39,'Market Days'!$I$5:$I$54,"READY"),2))/COUNTIFS($A$5:$A$104,A39,$B$5:$B$104,B39,$R$5:$R$104,"READY"),2),""))</f>
        <v/>
      </c>
      <c r="L39" s="34" t="str">
        <f aca="false">IF(R39&lt;&gt;"READY","",IFERROR(ROUND(ROUND(G39,2)+ROUND(H39,2)+ROUND(I39*ROUND(J39,2),2)+K39,2),""))</f>
        <v/>
      </c>
      <c r="M39" s="34" t="str">
        <f aca="false">IF(R39&lt;&gt;"READY","",IFERROR(ROUND(ROUND(F39,2)-L39,2),""))</f>
        <v/>
      </c>
      <c r="N39" s="35" t="str">
        <f aca="false">IF(R39&lt;&gt;"READY","",IFERROR(IF(ROUND(F39,2)=0,"",M39/ROUND(F39,2)),""))</f>
        <v/>
      </c>
      <c r="O39" s="35" t="str">
        <f aca="false">IF(R39&lt;&gt;"READY","",IFERROR(E39/D39,""))</f>
        <v/>
      </c>
      <c r="P39" s="34" t="str">
        <f aca="false">IF(R39&lt;&gt;"READY","",IFERROR(IF(I39=0,"",M39/I39),""))</f>
        <v/>
      </c>
      <c r="Q39" s="36" t="str">
        <f aca="false">IF(COUNTA(A39:J39)=0,"",IF(OR(R39&lt;&gt;"READY",COUNTIF(Targets!$D$5:$D$7,"READY")&lt;&gt;3),"NEEDS REVIEW",IFERROR(IF(AND(N39&lt;&gt;"",P39&lt;&gt;"",O39&lt;&gt;"",ROUND(N39,3)&gt;=ROUND(Targets!$B$5,3),ROUND(P39,2)&gt;=ROUND(Targets!$B$6,2),ROUND(O39,3)&gt;=ROUND(Targets!$B$7,3)),"MEETS TARGETS","REVIEW"),"REVIEW")))</f>
        <v/>
      </c>
      <c r="R39" s="17" t="str">
        <f aca="false">IF(COUNTA(A39:J39)=0,"",IFERROR(IF(A39="","ENTER MARKET DATE",IF(NOT(ISNUMBER(A39)),"ENTER A VALID DATE",IF(B39="","ENTER MARKET NAME",IF(C39="","ENTER PRODUCT BATCH",IF(COUNTIFS($A$5:$A$104,A39,$B$5:$B$104,B39,$C$5:$C$104,C39)&gt;1,"REMOVE DUPLICATE PRODUCT ROW",IF(OR(NOT(ISNUMBER(D39)),D39&lt;=0,D39&lt;&gt;INT(D39)),"ENTER UNITS BROUGHT AS A POSITIVE WHOLE NUMBER",IF(OR(NOT(ISNUMBER(E39)),E39&lt;0,E39&lt;&gt;INT(E39),E39&gt;D39),"CHECK WHOLE UNITS SOLD",IF(OR(NOT(ISNUMBER(F39)),F39&lt;0),"ENTER SALES AS 0 OR MORE",IF(OR(NOT(ISNUMBER(G39)),G39&lt;0),"ENTER INGREDIENT COST AS 0 OR MORE",IF(OR(NOT(ISNUMBER(H39)),H39&lt;0),"ENTER PACKAGING COST AS 0 OR MORE",IF(OR(NOT(ISNUMBER(I39)),I39&lt;0),"ENTER PRODUCT WORK HOURS AS 0 OR MORE",IF(OR(NOT(ISNUMBER(J39)),J39&lt;0),"ENTER TIME VALUE AS 0 OR MORE",IF(COUNTIFS('Market Days'!$A$5:$A$54,A39,'Market Days'!$B$5:$B$54,B39,'Market Days'!$I$5:$I$54,"READY")&lt;&gt;1,"FIX OR ADD MATCHING MARKET DAY","READY"))))))))))))),"FIX INVALID PRODUCT ENTRY"))</f>
        <v/>
      </c>
    </row>
    <row r="40" customFormat="false" ht="22" hidden="false" customHeight="true" outlineLevel="0" collapsed="false">
      <c r="A40" s="27"/>
      <c r="B40" s="28"/>
      <c r="C40" s="28"/>
      <c r="D40" s="28"/>
      <c r="E40" s="28"/>
      <c r="F40" s="19"/>
      <c r="G40" s="19"/>
      <c r="H40" s="19"/>
      <c r="I40" s="29"/>
      <c r="J40" s="19"/>
      <c r="K40" s="34" t="str">
        <f aca="false">IF(R40&lt;&gt;"READY","",IFERROR(ROUND((ROUND(SUMIFS('Market Days'!$C$5:$C$54,'Market Days'!$A$5:$A$54,A40,'Market Days'!$B$5:$B$54,B40,'Market Days'!$I$5:$I$54,"READY"),2)+ROUND(SUMIFS('Market Days'!$D$5:$D$54,'Market Days'!$A$5:$A$54,A40,'Market Days'!$B$5:$B$54,B40,'Market Days'!$I$5:$I$54,"READY"),2))/COUNTIFS($A$5:$A$104,A40,$B$5:$B$104,B40,$R$5:$R$104,"READY"),2),""))</f>
        <v/>
      </c>
      <c r="L40" s="34" t="str">
        <f aca="false">IF(R40&lt;&gt;"READY","",IFERROR(ROUND(ROUND(G40,2)+ROUND(H40,2)+ROUND(I40*ROUND(J40,2),2)+K40,2),""))</f>
        <v/>
      </c>
      <c r="M40" s="34" t="str">
        <f aca="false">IF(R40&lt;&gt;"READY","",IFERROR(ROUND(ROUND(F40,2)-L40,2),""))</f>
        <v/>
      </c>
      <c r="N40" s="35" t="str">
        <f aca="false">IF(R40&lt;&gt;"READY","",IFERROR(IF(ROUND(F40,2)=0,"",M40/ROUND(F40,2)),""))</f>
        <v/>
      </c>
      <c r="O40" s="35" t="str">
        <f aca="false">IF(R40&lt;&gt;"READY","",IFERROR(E40/D40,""))</f>
        <v/>
      </c>
      <c r="P40" s="34" t="str">
        <f aca="false">IF(R40&lt;&gt;"READY","",IFERROR(IF(I40=0,"",M40/I40),""))</f>
        <v/>
      </c>
      <c r="Q40" s="36" t="str">
        <f aca="false">IF(COUNTA(A40:J40)=0,"",IF(OR(R40&lt;&gt;"READY",COUNTIF(Targets!$D$5:$D$7,"READY")&lt;&gt;3),"NEEDS REVIEW",IFERROR(IF(AND(N40&lt;&gt;"",P40&lt;&gt;"",O40&lt;&gt;"",ROUND(N40,3)&gt;=ROUND(Targets!$B$5,3),ROUND(P40,2)&gt;=ROUND(Targets!$B$6,2),ROUND(O40,3)&gt;=ROUND(Targets!$B$7,3)),"MEETS TARGETS","REVIEW"),"REVIEW")))</f>
        <v/>
      </c>
      <c r="R40" s="17" t="str">
        <f aca="false">IF(COUNTA(A40:J40)=0,"",IFERROR(IF(A40="","ENTER MARKET DATE",IF(NOT(ISNUMBER(A40)),"ENTER A VALID DATE",IF(B40="","ENTER MARKET NAME",IF(C40="","ENTER PRODUCT BATCH",IF(COUNTIFS($A$5:$A$104,A40,$B$5:$B$104,B40,$C$5:$C$104,C40)&gt;1,"REMOVE DUPLICATE PRODUCT ROW",IF(OR(NOT(ISNUMBER(D40)),D40&lt;=0,D40&lt;&gt;INT(D40)),"ENTER UNITS BROUGHT AS A POSITIVE WHOLE NUMBER",IF(OR(NOT(ISNUMBER(E40)),E40&lt;0,E40&lt;&gt;INT(E40),E40&gt;D40),"CHECK WHOLE UNITS SOLD",IF(OR(NOT(ISNUMBER(F40)),F40&lt;0),"ENTER SALES AS 0 OR MORE",IF(OR(NOT(ISNUMBER(G40)),G40&lt;0),"ENTER INGREDIENT COST AS 0 OR MORE",IF(OR(NOT(ISNUMBER(H40)),H40&lt;0),"ENTER PACKAGING COST AS 0 OR MORE",IF(OR(NOT(ISNUMBER(I40)),I40&lt;0),"ENTER PRODUCT WORK HOURS AS 0 OR MORE",IF(OR(NOT(ISNUMBER(J40)),J40&lt;0),"ENTER TIME VALUE AS 0 OR MORE",IF(COUNTIFS('Market Days'!$A$5:$A$54,A40,'Market Days'!$B$5:$B$54,B40,'Market Days'!$I$5:$I$54,"READY")&lt;&gt;1,"FIX OR ADD MATCHING MARKET DAY","READY"))))))))))))),"FIX INVALID PRODUCT ENTRY"))</f>
        <v/>
      </c>
    </row>
    <row r="41" customFormat="false" ht="22" hidden="false" customHeight="true" outlineLevel="0" collapsed="false">
      <c r="A41" s="27"/>
      <c r="B41" s="28"/>
      <c r="C41" s="28"/>
      <c r="D41" s="28"/>
      <c r="E41" s="28"/>
      <c r="F41" s="19"/>
      <c r="G41" s="19"/>
      <c r="H41" s="19"/>
      <c r="I41" s="29"/>
      <c r="J41" s="19"/>
      <c r="K41" s="34" t="str">
        <f aca="false">IF(R41&lt;&gt;"READY","",IFERROR(ROUND((ROUND(SUMIFS('Market Days'!$C$5:$C$54,'Market Days'!$A$5:$A$54,A41,'Market Days'!$B$5:$B$54,B41,'Market Days'!$I$5:$I$54,"READY"),2)+ROUND(SUMIFS('Market Days'!$D$5:$D$54,'Market Days'!$A$5:$A$54,A41,'Market Days'!$B$5:$B$54,B41,'Market Days'!$I$5:$I$54,"READY"),2))/COUNTIFS($A$5:$A$104,A41,$B$5:$B$104,B41,$R$5:$R$104,"READY"),2),""))</f>
        <v/>
      </c>
      <c r="L41" s="34" t="str">
        <f aca="false">IF(R41&lt;&gt;"READY","",IFERROR(ROUND(ROUND(G41,2)+ROUND(H41,2)+ROUND(I41*ROUND(J41,2),2)+K41,2),""))</f>
        <v/>
      </c>
      <c r="M41" s="34" t="str">
        <f aca="false">IF(R41&lt;&gt;"READY","",IFERROR(ROUND(ROUND(F41,2)-L41,2),""))</f>
        <v/>
      </c>
      <c r="N41" s="35" t="str">
        <f aca="false">IF(R41&lt;&gt;"READY","",IFERROR(IF(ROUND(F41,2)=0,"",M41/ROUND(F41,2)),""))</f>
        <v/>
      </c>
      <c r="O41" s="35" t="str">
        <f aca="false">IF(R41&lt;&gt;"READY","",IFERROR(E41/D41,""))</f>
        <v/>
      </c>
      <c r="P41" s="34" t="str">
        <f aca="false">IF(R41&lt;&gt;"READY","",IFERROR(IF(I41=0,"",M41/I41),""))</f>
        <v/>
      </c>
      <c r="Q41" s="36" t="str">
        <f aca="false">IF(COUNTA(A41:J41)=0,"",IF(OR(R41&lt;&gt;"READY",COUNTIF(Targets!$D$5:$D$7,"READY")&lt;&gt;3),"NEEDS REVIEW",IFERROR(IF(AND(N41&lt;&gt;"",P41&lt;&gt;"",O41&lt;&gt;"",ROUND(N41,3)&gt;=ROUND(Targets!$B$5,3),ROUND(P41,2)&gt;=ROUND(Targets!$B$6,2),ROUND(O41,3)&gt;=ROUND(Targets!$B$7,3)),"MEETS TARGETS","REVIEW"),"REVIEW")))</f>
        <v/>
      </c>
      <c r="R41" s="17" t="str">
        <f aca="false">IF(COUNTA(A41:J41)=0,"",IFERROR(IF(A41="","ENTER MARKET DATE",IF(NOT(ISNUMBER(A41)),"ENTER A VALID DATE",IF(B41="","ENTER MARKET NAME",IF(C41="","ENTER PRODUCT BATCH",IF(COUNTIFS($A$5:$A$104,A41,$B$5:$B$104,B41,$C$5:$C$104,C41)&gt;1,"REMOVE DUPLICATE PRODUCT ROW",IF(OR(NOT(ISNUMBER(D41)),D41&lt;=0,D41&lt;&gt;INT(D41)),"ENTER UNITS BROUGHT AS A POSITIVE WHOLE NUMBER",IF(OR(NOT(ISNUMBER(E41)),E41&lt;0,E41&lt;&gt;INT(E41),E41&gt;D41),"CHECK WHOLE UNITS SOLD",IF(OR(NOT(ISNUMBER(F41)),F41&lt;0),"ENTER SALES AS 0 OR MORE",IF(OR(NOT(ISNUMBER(G41)),G41&lt;0),"ENTER INGREDIENT COST AS 0 OR MORE",IF(OR(NOT(ISNUMBER(H41)),H41&lt;0),"ENTER PACKAGING COST AS 0 OR MORE",IF(OR(NOT(ISNUMBER(I41)),I41&lt;0),"ENTER PRODUCT WORK HOURS AS 0 OR MORE",IF(OR(NOT(ISNUMBER(J41)),J41&lt;0),"ENTER TIME VALUE AS 0 OR MORE",IF(COUNTIFS('Market Days'!$A$5:$A$54,A41,'Market Days'!$B$5:$B$54,B41,'Market Days'!$I$5:$I$54,"READY")&lt;&gt;1,"FIX OR ADD MATCHING MARKET DAY","READY"))))))))))))),"FIX INVALID PRODUCT ENTRY"))</f>
        <v/>
      </c>
    </row>
    <row r="42" customFormat="false" ht="22" hidden="false" customHeight="true" outlineLevel="0" collapsed="false">
      <c r="A42" s="27"/>
      <c r="B42" s="28"/>
      <c r="C42" s="28"/>
      <c r="D42" s="28"/>
      <c r="E42" s="28"/>
      <c r="F42" s="19"/>
      <c r="G42" s="19"/>
      <c r="H42" s="19"/>
      <c r="I42" s="29"/>
      <c r="J42" s="19"/>
      <c r="K42" s="34" t="str">
        <f aca="false">IF(R42&lt;&gt;"READY","",IFERROR(ROUND((ROUND(SUMIFS('Market Days'!$C$5:$C$54,'Market Days'!$A$5:$A$54,A42,'Market Days'!$B$5:$B$54,B42,'Market Days'!$I$5:$I$54,"READY"),2)+ROUND(SUMIFS('Market Days'!$D$5:$D$54,'Market Days'!$A$5:$A$54,A42,'Market Days'!$B$5:$B$54,B42,'Market Days'!$I$5:$I$54,"READY"),2))/COUNTIFS($A$5:$A$104,A42,$B$5:$B$104,B42,$R$5:$R$104,"READY"),2),""))</f>
        <v/>
      </c>
      <c r="L42" s="34" t="str">
        <f aca="false">IF(R42&lt;&gt;"READY","",IFERROR(ROUND(ROUND(G42,2)+ROUND(H42,2)+ROUND(I42*ROUND(J42,2),2)+K42,2),""))</f>
        <v/>
      </c>
      <c r="M42" s="34" t="str">
        <f aca="false">IF(R42&lt;&gt;"READY","",IFERROR(ROUND(ROUND(F42,2)-L42,2),""))</f>
        <v/>
      </c>
      <c r="N42" s="35" t="str">
        <f aca="false">IF(R42&lt;&gt;"READY","",IFERROR(IF(ROUND(F42,2)=0,"",M42/ROUND(F42,2)),""))</f>
        <v/>
      </c>
      <c r="O42" s="35" t="str">
        <f aca="false">IF(R42&lt;&gt;"READY","",IFERROR(E42/D42,""))</f>
        <v/>
      </c>
      <c r="P42" s="34" t="str">
        <f aca="false">IF(R42&lt;&gt;"READY","",IFERROR(IF(I42=0,"",M42/I42),""))</f>
        <v/>
      </c>
      <c r="Q42" s="36" t="str">
        <f aca="false">IF(COUNTA(A42:J42)=0,"",IF(OR(R42&lt;&gt;"READY",COUNTIF(Targets!$D$5:$D$7,"READY")&lt;&gt;3),"NEEDS REVIEW",IFERROR(IF(AND(N42&lt;&gt;"",P42&lt;&gt;"",O42&lt;&gt;"",ROUND(N42,3)&gt;=ROUND(Targets!$B$5,3),ROUND(P42,2)&gt;=ROUND(Targets!$B$6,2),ROUND(O42,3)&gt;=ROUND(Targets!$B$7,3)),"MEETS TARGETS","REVIEW"),"REVIEW")))</f>
        <v/>
      </c>
      <c r="R42" s="17" t="str">
        <f aca="false">IF(COUNTA(A42:J42)=0,"",IFERROR(IF(A42="","ENTER MARKET DATE",IF(NOT(ISNUMBER(A42)),"ENTER A VALID DATE",IF(B42="","ENTER MARKET NAME",IF(C42="","ENTER PRODUCT BATCH",IF(COUNTIFS($A$5:$A$104,A42,$B$5:$B$104,B42,$C$5:$C$104,C42)&gt;1,"REMOVE DUPLICATE PRODUCT ROW",IF(OR(NOT(ISNUMBER(D42)),D42&lt;=0,D42&lt;&gt;INT(D42)),"ENTER UNITS BROUGHT AS A POSITIVE WHOLE NUMBER",IF(OR(NOT(ISNUMBER(E42)),E42&lt;0,E42&lt;&gt;INT(E42),E42&gt;D42),"CHECK WHOLE UNITS SOLD",IF(OR(NOT(ISNUMBER(F42)),F42&lt;0),"ENTER SALES AS 0 OR MORE",IF(OR(NOT(ISNUMBER(G42)),G42&lt;0),"ENTER INGREDIENT COST AS 0 OR MORE",IF(OR(NOT(ISNUMBER(H42)),H42&lt;0),"ENTER PACKAGING COST AS 0 OR MORE",IF(OR(NOT(ISNUMBER(I42)),I42&lt;0),"ENTER PRODUCT WORK HOURS AS 0 OR MORE",IF(OR(NOT(ISNUMBER(J42)),J42&lt;0),"ENTER TIME VALUE AS 0 OR MORE",IF(COUNTIFS('Market Days'!$A$5:$A$54,A42,'Market Days'!$B$5:$B$54,B42,'Market Days'!$I$5:$I$54,"READY")&lt;&gt;1,"FIX OR ADD MATCHING MARKET DAY","READY"))))))))))))),"FIX INVALID PRODUCT ENTRY"))</f>
        <v/>
      </c>
    </row>
    <row r="43" customFormat="false" ht="22" hidden="false" customHeight="true" outlineLevel="0" collapsed="false">
      <c r="A43" s="27"/>
      <c r="B43" s="28"/>
      <c r="C43" s="28"/>
      <c r="D43" s="28"/>
      <c r="E43" s="28"/>
      <c r="F43" s="19"/>
      <c r="G43" s="19"/>
      <c r="H43" s="19"/>
      <c r="I43" s="29"/>
      <c r="J43" s="19"/>
      <c r="K43" s="34" t="str">
        <f aca="false">IF(R43&lt;&gt;"READY","",IFERROR(ROUND((ROUND(SUMIFS('Market Days'!$C$5:$C$54,'Market Days'!$A$5:$A$54,A43,'Market Days'!$B$5:$B$54,B43,'Market Days'!$I$5:$I$54,"READY"),2)+ROUND(SUMIFS('Market Days'!$D$5:$D$54,'Market Days'!$A$5:$A$54,A43,'Market Days'!$B$5:$B$54,B43,'Market Days'!$I$5:$I$54,"READY"),2))/COUNTIFS($A$5:$A$104,A43,$B$5:$B$104,B43,$R$5:$R$104,"READY"),2),""))</f>
        <v/>
      </c>
      <c r="L43" s="34" t="str">
        <f aca="false">IF(R43&lt;&gt;"READY","",IFERROR(ROUND(ROUND(G43,2)+ROUND(H43,2)+ROUND(I43*ROUND(J43,2),2)+K43,2),""))</f>
        <v/>
      </c>
      <c r="M43" s="34" t="str">
        <f aca="false">IF(R43&lt;&gt;"READY","",IFERROR(ROUND(ROUND(F43,2)-L43,2),""))</f>
        <v/>
      </c>
      <c r="N43" s="35" t="str">
        <f aca="false">IF(R43&lt;&gt;"READY","",IFERROR(IF(ROUND(F43,2)=0,"",M43/ROUND(F43,2)),""))</f>
        <v/>
      </c>
      <c r="O43" s="35" t="str">
        <f aca="false">IF(R43&lt;&gt;"READY","",IFERROR(E43/D43,""))</f>
        <v/>
      </c>
      <c r="P43" s="34" t="str">
        <f aca="false">IF(R43&lt;&gt;"READY","",IFERROR(IF(I43=0,"",M43/I43),""))</f>
        <v/>
      </c>
      <c r="Q43" s="36" t="str">
        <f aca="false">IF(COUNTA(A43:J43)=0,"",IF(OR(R43&lt;&gt;"READY",COUNTIF(Targets!$D$5:$D$7,"READY")&lt;&gt;3),"NEEDS REVIEW",IFERROR(IF(AND(N43&lt;&gt;"",P43&lt;&gt;"",O43&lt;&gt;"",ROUND(N43,3)&gt;=ROUND(Targets!$B$5,3),ROUND(P43,2)&gt;=ROUND(Targets!$B$6,2),ROUND(O43,3)&gt;=ROUND(Targets!$B$7,3)),"MEETS TARGETS","REVIEW"),"REVIEW")))</f>
        <v/>
      </c>
      <c r="R43" s="17" t="str">
        <f aca="false">IF(COUNTA(A43:J43)=0,"",IFERROR(IF(A43="","ENTER MARKET DATE",IF(NOT(ISNUMBER(A43)),"ENTER A VALID DATE",IF(B43="","ENTER MARKET NAME",IF(C43="","ENTER PRODUCT BATCH",IF(COUNTIFS($A$5:$A$104,A43,$B$5:$B$104,B43,$C$5:$C$104,C43)&gt;1,"REMOVE DUPLICATE PRODUCT ROW",IF(OR(NOT(ISNUMBER(D43)),D43&lt;=0,D43&lt;&gt;INT(D43)),"ENTER UNITS BROUGHT AS A POSITIVE WHOLE NUMBER",IF(OR(NOT(ISNUMBER(E43)),E43&lt;0,E43&lt;&gt;INT(E43),E43&gt;D43),"CHECK WHOLE UNITS SOLD",IF(OR(NOT(ISNUMBER(F43)),F43&lt;0),"ENTER SALES AS 0 OR MORE",IF(OR(NOT(ISNUMBER(G43)),G43&lt;0),"ENTER INGREDIENT COST AS 0 OR MORE",IF(OR(NOT(ISNUMBER(H43)),H43&lt;0),"ENTER PACKAGING COST AS 0 OR MORE",IF(OR(NOT(ISNUMBER(I43)),I43&lt;0),"ENTER PRODUCT WORK HOURS AS 0 OR MORE",IF(OR(NOT(ISNUMBER(J43)),J43&lt;0),"ENTER TIME VALUE AS 0 OR MORE",IF(COUNTIFS('Market Days'!$A$5:$A$54,A43,'Market Days'!$B$5:$B$54,B43,'Market Days'!$I$5:$I$54,"READY")&lt;&gt;1,"FIX OR ADD MATCHING MARKET DAY","READY"))))))))))))),"FIX INVALID PRODUCT ENTRY"))</f>
        <v/>
      </c>
    </row>
    <row r="44" customFormat="false" ht="22" hidden="false" customHeight="true" outlineLevel="0" collapsed="false">
      <c r="A44" s="27"/>
      <c r="B44" s="28"/>
      <c r="C44" s="28"/>
      <c r="D44" s="28"/>
      <c r="E44" s="28"/>
      <c r="F44" s="19"/>
      <c r="G44" s="19"/>
      <c r="H44" s="19"/>
      <c r="I44" s="29"/>
      <c r="J44" s="19"/>
      <c r="K44" s="34" t="str">
        <f aca="false">IF(R44&lt;&gt;"READY","",IFERROR(ROUND((ROUND(SUMIFS('Market Days'!$C$5:$C$54,'Market Days'!$A$5:$A$54,A44,'Market Days'!$B$5:$B$54,B44,'Market Days'!$I$5:$I$54,"READY"),2)+ROUND(SUMIFS('Market Days'!$D$5:$D$54,'Market Days'!$A$5:$A$54,A44,'Market Days'!$B$5:$B$54,B44,'Market Days'!$I$5:$I$54,"READY"),2))/COUNTIFS($A$5:$A$104,A44,$B$5:$B$104,B44,$R$5:$R$104,"READY"),2),""))</f>
        <v/>
      </c>
      <c r="L44" s="34" t="str">
        <f aca="false">IF(R44&lt;&gt;"READY","",IFERROR(ROUND(ROUND(G44,2)+ROUND(H44,2)+ROUND(I44*ROUND(J44,2),2)+K44,2),""))</f>
        <v/>
      </c>
      <c r="M44" s="34" t="str">
        <f aca="false">IF(R44&lt;&gt;"READY","",IFERROR(ROUND(ROUND(F44,2)-L44,2),""))</f>
        <v/>
      </c>
      <c r="N44" s="35" t="str">
        <f aca="false">IF(R44&lt;&gt;"READY","",IFERROR(IF(ROUND(F44,2)=0,"",M44/ROUND(F44,2)),""))</f>
        <v/>
      </c>
      <c r="O44" s="35" t="str">
        <f aca="false">IF(R44&lt;&gt;"READY","",IFERROR(E44/D44,""))</f>
        <v/>
      </c>
      <c r="P44" s="34" t="str">
        <f aca="false">IF(R44&lt;&gt;"READY","",IFERROR(IF(I44=0,"",M44/I44),""))</f>
        <v/>
      </c>
      <c r="Q44" s="36" t="str">
        <f aca="false">IF(COUNTA(A44:J44)=0,"",IF(OR(R44&lt;&gt;"READY",COUNTIF(Targets!$D$5:$D$7,"READY")&lt;&gt;3),"NEEDS REVIEW",IFERROR(IF(AND(N44&lt;&gt;"",P44&lt;&gt;"",O44&lt;&gt;"",ROUND(N44,3)&gt;=ROUND(Targets!$B$5,3),ROUND(P44,2)&gt;=ROUND(Targets!$B$6,2),ROUND(O44,3)&gt;=ROUND(Targets!$B$7,3)),"MEETS TARGETS","REVIEW"),"REVIEW")))</f>
        <v/>
      </c>
      <c r="R44" s="17" t="str">
        <f aca="false">IF(COUNTA(A44:J44)=0,"",IFERROR(IF(A44="","ENTER MARKET DATE",IF(NOT(ISNUMBER(A44)),"ENTER A VALID DATE",IF(B44="","ENTER MARKET NAME",IF(C44="","ENTER PRODUCT BATCH",IF(COUNTIFS($A$5:$A$104,A44,$B$5:$B$104,B44,$C$5:$C$104,C44)&gt;1,"REMOVE DUPLICATE PRODUCT ROW",IF(OR(NOT(ISNUMBER(D44)),D44&lt;=0,D44&lt;&gt;INT(D44)),"ENTER UNITS BROUGHT AS A POSITIVE WHOLE NUMBER",IF(OR(NOT(ISNUMBER(E44)),E44&lt;0,E44&lt;&gt;INT(E44),E44&gt;D44),"CHECK WHOLE UNITS SOLD",IF(OR(NOT(ISNUMBER(F44)),F44&lt;0),"ENTER SALES AS 0 OR MORE",IF(OR(NOT(ISNUMBER(G44)),G44&lt;0),"ENTER INGREDIENT COST AS 0 OR MORE",IF(OR(NOT(ISNUMBER(H44)),H44&lt;0),"ENTER PACKAGING COST AS 0 OR MORE",IF(OR(NOT(ISNUMBER(I44)),I44&lt;0),"ENTER PRODUCT WORK HOURS AS 0 OR MORE",IF(OR(NOT(ISNUMBER(J44)),J44&lt;0),"ENTER TIME VALUE AS 0 OR MORE",IF(COUNTIFS('Market Days'!$A$5:$A$54,A44,'Market Days'!$B$5:$B$54,B44,'Market Days'!$I$5:$I$54,"READY")&lt;&gt;1,"FIX OR ADD MATCHING MARKET DAY","READY"))))))))))))),"FIX INVALID PRODUCT ENTRY"))</f>
        <v/>
      </c>
    </row>
    <row r="45" customFormat="false" ht="22" hidden="false" customHeight="true" outlineLevel="0" collapsed="false">
      <c r="A45" s="27"/>
      <c r="B45" s="28"/>
      <c r="C45" s="28"/>
      <c r="D45" s="28"/>
      <c r="E45" s="28"/>
      <c r="F45" s="19"/>
      <c r="G45" s="19"/>
      <c r="H45" s="19"/>
      <c r="I45" s="29"/>
      <c r="J45" s="19"/>
      <c r="K45" s="34" t="str">
        <f aca="false">IF(R45&lt;&gt;"READY","",IFERROR(ROUND((ROUND(SUMIFS('Market Days'!$C$5:$C$54,'Market Days'!$A$5:$A$54,A45,'Market Days'!$B$5:$B$54,B45,'Market Days'!$I$5:$I$54,"READY"),2)+ROUND(SUMIFS('Market Days'!$D$5:$D$54,'Market Days'!$A$5:$A$54,A45,'Market Days'!$B$5:$B$54,B45,'Market Days'!$I$5:$I$54,"READY"),2))/COUNTIFS($A$5:$A$104,A45,$B$5:$B$104,B45,$R$5:$R$104,"READY"),2),""))</f>
        <v/>
      </c>
      <c r="L45" s="34" t="str">
        <f aca="false">IF(R45&lt;&gt;"READY","",IFERROR(ROUND(ROUND(G45,2)+ROUND(H45,2)+ROUND(I45*ROUND(J45,2),2)+K45,2),""))</f>
        <v/>
      </c>
      <c r="M45" s="34" t="str">
        <f aca="false">IF(R45&lt;&gt;"READY","",IFERROR(ROUND(ROUND(F45,2)-L45,2),""))</f>
        <v/>
      </c>
      <c r="N45" s="35" t="str">
        <f aca="false">IF(R45&lt;&gt;"READY","",IFERROR(IF(ROUND(F45,2)=0,"",M45/ROUND(F45,2)),""))</f>
        <v/>
      </c>
      <c r="O45" s="35" t="str">
        <f aca="false">IF(R45&lt;&gt;"READY","",IFERROR(E45/D45,""))</f>
        <v/>
      </c>
      <c r="P45" s="34" t="str">
        <f aca="false">IF(R45&lt;&gt;"READY","",IFERROR(IF(I45=0,"",M45/I45),""))</f>
        <v/>
      </c>
      <c r="Q45" s="36" t="str">
        <f aca="false">IF(COUNTA(A45:J45)=0,"",IF(OR(R45&lt;&gt;"READY",COUNTIF(Targets!$D$5:$D$7,"READY")&lt;&gt;3),"NEEDS REVIEW",IFERROR(IF(AND(N45&lt;&gt;"",P45&lt;&gt;"",O45&lt;&gt;"",ROUND(N45,3)&gt;=ROUND(Targets!$B$5,3),ROUND(P45,2)&gt;=ROUND(Targets!$B$6,2),ROUND(O45,3)&gt;=ROUND(Targets!$B$7,3)),"MEETS TARGETS","REVIEW"),"REVIEW")))</f>
        <v/>
      </c>
      <c r="R45" s="17" t="str">
        <f aca="false">IF(COUNTA(A45:J45)=0,"",IFERROR(IF(A45="","ENTER MARKET DATE",IF(NOT(ISNUMBER(A45)),"ENTER A VALID DATE",IF(B45="","ENTER MARKET NAME",IF(C45="","ENTER PRODUCT BATCH",IF(COUNTIFS($A$5:$A$104,A45,$B$5:$B$104,B45,$C$5:$C$104,C45)&gt;1,"REMOVE DUPLICATE PRODUCT ROW",IF(OR(NOT(ISNUMBER(D45)),D45&lt;=0,D45&lt;&gt;INT(D45)),"ENTER UNITS BROUGHT AS A POSITIVE WHOLE NUMBER",IF(OR(NOT(ISNUMBER(E45)),E45&lt;0,E45&lt;&gt;INT(E45),E45&gt;D45),"CHECK WHOLE UNITS SOLD",IF(OR(NOT(ISNUMBER(F45)),F45&lt;0),"ENTER SALES AS 0 OR MORE",IF(OR(NOT(ISNUMBER(G45)),G45&lt;0),"ENTER INGREDIENT COST AS 0 OR MORE",IF(OR(NOT(ISNUMBER(H45)),H45&lt;0),"ENTER PACKAGING COST AS 0 OR MORE",IF(OR(NOT(ISNUMBER(I45)),I45&lt;0),"ENTER PRODUCT WORK HOURS AS 0 OR MORE",IF(OR(NOT(ISNUMBER(J45)),J45&lt;0),"ENTER TIME VALUE AS 0 OR MORE",IF(COUNTIFS('Market Days'!$A$5:$A$54,A45,'Market Days'!$B$5:$B$54,B45,'Market Days'!$I$5:$I$54,"READY")&lt;&gt;1,"FIX OR ADD MATCHING MARKET DAY","READY"))))))))))))),"FIX INVALID PRODUCT ENTRY"))</f>
        <v/>
      </c>
    </row>
    <row r="46" customFormat="false" ht="22" hidden="false" customHeight="true" outlineLevel="0" collapsed="false">
      <c r="A46" s="27"/>
      <c r="B46" s="28"/>
      <c r="C46" s="28"/>
      <c r="D46" s="28"/>
      <c r="E46" s="28"/>
      <c r="F46" s="19"/>
      <c r="G46" s="19"/>
      <c r="H46" s="19"/>
      <c r="I46" s="29"/>
      <c r="J46" s="19"/>
      <c r="K46" s="34" t="str">
        <f aca="false">IF(R46&lt;&gt;"READY","",IFERROR(ROUND((ROUND(SUMIFS('Market Days'!$C$5:$C$54,'Market Days'!$A$5:$A$54,A46,'Market Days'!$B$5:$B$54,B46,'Market Days'!$I$5:$I$54,"READY"),2)+ROUND(SUMIFS('Market Days'!$D$5:$D$54,'Market Days'!$A$5:$A$54,A46,'Market Days'!$B$5:$B$54,B46,'Market Days'!$I$5:$I$54,"READY"),2))/COUNTIFS($A$5:$A$104,A46,$B$5:$B$104,B46,$R$5:$R$104,"READY"),2),""))</f>
        <v/>
      </c>
      <c r="L46" s="34" t="str">
        <f aca="false">IF(R46&lt;&gt;"READY","",IFERROR(ROUND(ROUND(G46,2)+ROUND(H46,2)+ROUND(I46*ROUND(J46,2),2)+K46,2),""))</f>
        <v/>
      </c>
      <c r="M46" s="34" t="str">
        <f aca="false">IF(R46&lt;&gt;"READY","",IFERROR(ROUND(ROUND(F46,2)-L46,2),""))</f>
        <v/>
      </c>
      <c r="N46" s="35" t="str">
        <f aca="false">IF(R46&lt;&gt;"READY","",IFERROR(IF(ROUND(F46,2)=0,"",M46/ROUND(F46,2)),""))</f>
        <v/>
      </c>
      <c r="O46" s="35" t="str">
        <f aca="false">IF(R46&lt;&gt;"READY","",IFERROR(E46/D46,""))</f>
        <v/>
      </c>
      <c r="P46" s="34" t="str">
        <f aca="false">IF(R46&lt;&gt;"READY","",IFERROR(IF(I46=0,"",M46/I46),""))</f>
        <v/>
      </c>
      <c r="Q46" s="36" t="str">
        <f aca="false">IF(COUNTA(A46:J46)=0,"",IF(OR(R46&lt;&gt;"READY",COUNTIF(Targets!$D$5:$D$7,"READY")&lt;&gt;3),"NEEDS REVIEW",IFERROR(IF(AND(N46&lt;&gt;"",P46&lt;&gt;"",O46&lt;&gt;"",ROUND(N46,3)&gt;=ROUND(Targets!$B$5,3),ROUND(P46,2)&gt;=ROUND(Targets!$B$6,2),ROUND(O46,3)&gt;=ROUND(Targets!$B$7,3)),"MEETS TARGETS","REVIEW"),"REVIEW")))</f>
        <v/>
      </c>
      <c r="R46" s="17" t="str">
        <f aca="false">IF(COUNTA(A46:J46)=0,"",IFERROR(IF(A46="","ENTER MARKET DATE",IF(NOT(ISNUMBER(A46)),"ENTER A VALID DATE",IF(B46="","ENTER MARKET NAME",IF(C46="","ENTER PRODUCT BATCH",IF(COUNTIFS($A$5:$A$104,A46,$B$5:$B$104,B46,$C$5:$C$104,C46)&gt;1,"REMOVE DUPLICATE PRODUCT ROW",IF(OR(NOT(ISNUMBER(D46)),D46&lt;=0,D46&lt;&gt;INT(D46)),"ENTER UNITS BROUGHT AS A POSITIVE WHOLE NUMBER",IF(OR(NOT(ISNUMBER(E46)),E46&lt;0,E46&lt;&gt;INT(E46),E46&gt;D46),"CHECK WHOLE UNITS SOLD",IF(OR(NOT(ISNUMBER(F46)),F46&lt;0),"ENTER SALES AS 0 OR MORE",IF(OR(NOT(ISNUMBER(G46)),G46&lt;0),"ENTER INGREDIENT COST AS 0 OR MORE",IF(OR(NOT(ISNUMBER(H46)),H46&lt;0),"ENTER PACKAGING COST AS 0 OR MORE",IF(OR(NOT(ISNUMBER(I46)),I46&lt;0),"ENTER PRODUCT WORK HOURS AS 0 OR MORE",IF(OR(NOT(ISNUMBER(J46)),J46&lt;0),"ENTER TIME VALUE AS 0 OR MORE",IF(COUNTIFS('Market Days'!$A$5:$A$54,A46,'Market Days'!$B$5:$B$54,B46,'Market Days'!$I$5:$I$54,"READY")&lt;&gt;1,"FIX OR ADD MATCHING MARKET DAY","READY"))))))))))))),"FIX INVALID PRODUCT ENTRY"))</f>
        <v/>
      </c>
    </row>
    <row r="47" customFormat="false" ht="22" hidden="false" customHeight="true" outlineLevel="0" collapsed="false">
      <c r="A47" s="27"/>
      <c r="B47" s="28"/>
      <c r="C47" s="28"/>
      <c r="D47" s="28"/>
      <c r="E47" s="28"/>
      <c r="F47" s="19"/>
      <c r="G47" s="19"/>
      <c r="H47" s="19"/>
      <c r="I47" s="29"/>
      <c r="J47" s="19"/>
      <c r="K47" s="34" t="str">
        <f aca="false">IF(R47&lt;&gt;"READY","",IFERROR(ROUND((ROUND(SUMIFS('Market Days'!$C$5:$C$54,'Market Days'!$A$5:$A$54,A47,'Market Days'!$B$5:$B$54,B47,'Market Days'!$I$5:$I$54,"READY"),2)+ROUND(SUMIFS('Market Days'!$D$5:$D$54,'Market Days'!$A$5:$A$54,A47,'Market Days'!$B$5:$B$54,B47,'Market Days'!$I$5:$I$54,"READY"),2))/COUNTIFS($A$5:$A$104,A47,$B$5:$B$104,B47,$R$5:$R$104,"READY"),2),""))</f>
        <v/>
      </c>
      <c r="L47" s="34" t="str">
        <f aca="false">IF(R47&lt;&gt;"READY","",IFERROR(ROUND(ROUND(G47,2)+ROUND(H47,2)+ROUND(I47*ROUND(J47,2),2)+K47,2),""))</f>
        <v/>
      </c>
      <c r="M47" s="34" t="str">
        <f aca="false">IF(R47&lt;&gt;"READY","",IFERROR(ROUND(ROUND(F47,2)-L47,2),""))</f>
        <v/>
      </c>
      <c r="N47" s="35" t="str">
        <f aca="false">IF(R47&lt;&gt;"READY","",IFERROR(IF(ROUND(F47,2)=0,"",M47/ROUND(F47,2)),""))</f>
        <v/>
      </c>
      <c r="O47" s="35" t="str">
        <f aca="false">IF(R47&lt;&gt;"READY","",IFERROR(E47/D47,""))</f>
        <v/>
      </c>
      <c r="P47" s="34" t="str">
        <f aca="false">IF(R47&lt;&gt;"READY","",IFERROR(IF(I47=0,"",M47/I47),""))</f>
        <v/>
      </c>
      <c r="Q47" s="36" t="str">
        <f aca="false">IF(COUNTA(A47:J47)=0,"",IF(OR(R47&lt;&gt;"READY",COUNTIF(Targets!$D$5:$D$7,"READY")&lt;&gt;3),"NEEDS REVIEW",IFERROR(IF(AND(N47&lt;&gt;"",P47&lt;&gt;"",O47&lt;&gt;"",ROUND(N47,3)&gt;=ROUND(Targets!$B$5,3),ROUND(P47,2)&gt;=ROUND(Targets!$B$6,2),ROUND(O47,3)&gt;=ROUND(Targets!$B$7,3)),"MEETS TARGETS","REVIEW"),"REVIEW")))</f>
        <v/>
      </c>
      <c r="R47" s="17" t="str">
        <f aca="false">IF(COUNTA(A47:J47)=0,"",IFERROR(IF(A47="","ENTER MARKET DATE",IF(NOT(ISNUMBER(A47)),"ENTER A VALID DATE",IF(B47="","ENTER MARKET NAME",IF(C47="","ENTER PRODUCT BATCH",IF(COUNTIFS($A$5:$A$104,A47,$B$5:$B$104,B47,$C$5:$C$104,C47)&gt;1,"REMOVE DUPLICATE PRODUCT ROW",IF(OR(NOT(ISNUMBER(D47)),D47&lt;=0,D47&lt;&gt;INT(D47)),"ENTER UNITS BROUGHT AS A POSITIVE WHOLE NUMBER",IF(OR(NOT(ISNUMBER(E47)),E47&lt;0,E47&lt;&gt;INT(E47),E47&gt;D47),"CHECK WHOLE UNITS SOLD",IF(OR(NOT(ISNUMBER(F47)),F47&lt;0),"ENTER SALES AS 0 OR MORE",IF(OR(NOT(ISNUMBER(G47)),G47&lt;0),"ENTER INGREDIENT COST AS 0 OR MORE",IF(OR(NOT(ISNUMBER(H47)),H47&lt;0),"ENTER PACKAGING COST AS 0 OR MORE",IF(OR(NOT(ISNUMBER(I47)),I47&lt;0),"ENTER PRODUCT WORK HOURS AS 0 OR MORE",IF(OR(NOT(ISNUMBER(J47)),J47&lt;0),"ENTER TIME VALUE AS 0 OR MORE",IF(COUNTIFS('Market Days'!$A$5:$A$54,A47,'Market Days'!$B$5:$B$54,B47,'Market Days'!$I$5:$I$54,"READY")&lt;&gt;1,"FIX OR ADD MATCHING MARKET DAY","READY"))))))))))))),"FIX INVALID PRODUCT ENTRY"))</f>
        <v/>
      </c>
    </row>
    <row r="48" customFormat="false" ht="22" hidden="false" customHeight="true" outlineLevel="0" collapsed="false">
      <c r="A48" s="27"/>
      <c r="B48" s="28"/>
      <c r="C48" s="28"/>
      <c r="D48" s="28"/>
      <c r="E48" s="28"/>
      <c r="F48" s="19"/>
      <c r="G48" s="19"/>
      <c r="H48" s="19"/>
      <c r="I48" s="29"/>
      <c r="J48" s="19"/>
      <c r="K48" s="34" t="str">
        <f aca="false">IF(R48&lt;&gt;"READY","",IFERROR(ROUND((ROUND(SUMIFS('Market Days'!$C$5:$C$54,'Market Days'!$A$5:$A$54,A48,'Market Days'!$B$5:$B$54,B48,'Market Days'!$I$5:$I$54,"READY"),2)+ROUND(SUMIFS('Market Days'!$D$5:$D$54,'Market Days'!$A$5:$A$54,A48,'Market Days'!$B$5:$B$54,B48,'Market Days'!$I$5:$I$54,"READY"),2))/COUNTIFS($A$5:$A$104,A48,$B$5:$B$104,B48,$R$5:$R$104,"READY"),2),""))</f>
        <v/>
      </c>
      <c r="L48" s="34" t="str">
        <f aca="false">IF(R48&lt;&gt;"READY","",IFERROR(ROUND(ROUND(G48,2)+ROUND(H48,2)+ROUND(I48*ROUND(J48,2),2)+K48,2),""))</f>
        <v/>
      </c>
      <c r="M48" s="34" t="str">
        <f aca="false">IF(R48&lt;&gt;"READY","",IFERROR(ROUND(ROUND(F48,2)-L48,2),""))</f>
        <v/>
      </c>
      <c r="N48" s="35" t="str">
        <f aca="false">IF(R48&lt;&gt;"READY","",IFERROR(IF(ROUND(F48,2)=0,"",M48/ROUND(F48,2)),""))</f>
        <v/>
      </c>
      <c r="O48" s="35" t="str">
        <f aca="false">IF(R48&lt;&gt;"READY","",IFERROR(E48/D48,""))</f>
        <v/>
      </c>
      <c r="P48" s="34" t="str">
        <f aca="false">IF(R48&lt;&gt;"READY","",IFERROR(IF(I48=0,"",M48/I48),""))</f>
        <v/>
      </c>
      <c r="Q48" s="36" t="str">
        <f aca="false">IF(COUNTA(A48:J48)=0,"",IF(OR(R48&lt;&gt;"READY",COUNTIF(Targets!$D$5:$D$7,"READY")&lt;&gt;3),"NEEDS REVIEW",IFERROR(IF(AND(N48&lt;&gt;"",P48&lt;&gt;"",O48&lt;&gt;"",ROUND(N48,3)&gt;=ROUND(Targets!$B$5,3),ROUND(P48,2)&gt;=ROUND(Targets!$B$6,2),ROUND(O48,3)&gt;=ROUND(Targets!$B$7,3)),"MEETS TARGETS","REVIEW"),"REVIEW")))</f>
        <v/>
      </c>
      <c r="R48" s="17" t="str">
        <f aca="false">IF(COUNTA(A48:J48)=0,"",IFERROR(IF(A48="","ENTER MARKET DATE",IF(NOT(ISNUMBER(A48)),"ENTER A VALID DATE",IF(B48="","ENTER MARKET NAME",IF(C48="","ENTER PRODUCT BATCH",IF(COUNTIFS($A$5:$A$104,A48,$B$5:$B$104,B48,$C$5:$C$104,C48)&gt;1,"REMOVE DUPLICATE PRODUCT ROW",IF(OR(NOT(ISNUMBER(D48)),D48&lt;=0,D48&lt;&gt;INT(D48)),"ENTER UNITS BROUGHT AS A POSITIVE WHOLE NUMBER",IF(OR(NOT(ISNUMBER(E48)),E48&lt;0,E48&lt;&gt;INT(E48),E48&gt;D48),"CHECK WHOLE UNITS SOLD",IF(OR(NOT(ISNUMBER(F48)),F48&lt;0),"ENTER SALES AS 0 OR MORE",IF(OR(NOT(ISNUMBER(G48)),G48&lt;0),"ENTER INGREDIENT COST AS 0 OR MORE",IF(OR(NOT(ISNUMBER(H48)),H48&lt;0),"ENTER PACKAGING COST AS 0 OR MORE",IF(OR(NOT(ISNUMBER(I48)),I48&lt;0),"ENTER PRODUCT WORK HOURS AS 0 OR MORE",IF(OR(NOT(ISNUMBER(J48)),J48&lt;0),"ENTER TIME VALUE AS 0 OR MORE",IF(COUNTIFS('Market Days'!$A$5:$A$54,A48,'Market Days'!$B$5:$B$54,B48,'Market Days'!$I$5:$I$54,"READY")&lt;&gt;1,"FIX OR ADD MATCHING MARKET DAY","READY"))))))))))))),"FIX INVALID PRODUCT ENTRY"))</f>
        <v/>
      </c>
    </row>
    <row r="49" customFormat="false" ht="22" hidden="false" customHeight="true" outlineLevel="0" collapsed="false">
      <c r="A49" s="27"/>
      <c r="B49" s="28"/>
      <c r="C49" s="28"/>
      <c r="D49" s="28"/>
      <c r="E49" s="28"/>
      <c r="F49" s="19"/>
      <c r="G49" s="19"/>
      <c r="H49" s="19"/>
      <c r="I49" s="29"/>
      <c r="J49" s="19"/>
      <c r="K49" s="34" t="str">
        <f aca="false">IF(R49&lt;&gt;"READY","",IFERROR(ROUND((ROUND(SUMIFS('Market Days'!$C$5:$C$54,'Market Days'!$A$5:$A$54,A49,'Market Days'!$B$5:$B$54,B49,'Market Days'!$I$5:$I$54,"READY"),2)+ROUND(SUMIFS('Market Days'!$D$5:$D$54,'Market Days'!$A$5:$A$54,A49,'Market Days'!$B$5:$B$54,B49,'Market Days'!$I$5:$I$54,"READY"),2))/COUNTIFS($A$5:$A$104,A49,$B$5:$B$104,B49,$R$5:$R$104,"READY"),2),""))</f>
        <v/>
      </c>
      <c r="L49" s="34" t="str">
        <f aca="false">IF(R49&lt;&gt;"READY","",IFERROR(ROUND(ROUND(G49,2)+ROUND(H49,2)+ROUND(I49*ROUND(J49,2),2)+K49,2),""))</f>
        <v/>
      </c>
      <c r="M49" s="34" t="str">
        <f aca="false">IF(R49&lt;&gt;"READY","",IFERROR(ROUND(ROUND(F49,2)-L49,2),""))</f>
        <v/>
      </c>
      <c r="N49" s="35" t="str">
        <f aca="false">IF(R49&lt;&gt;"READY","",IFERROR(IF(ROUND(F49,2)=0,"",M49/ROUND(F49,2)),""))</f>
        <v/>
      </c>
      <c r="O49" s="35" t="str">
        <f aca="false">IF(R49&lt;&gt;"READY","",IFERROR(E49/D49,""))</f>
        <v/>
      </c>
      <c r="P49" s="34" t="str">
        <f aca="false">IF(R49&lt;&gt;"READY","",IFERROR(IF(I49=0,"",M49/I49),""))</f>
        <v/>
      </c>
      <c r="Q49" s="36" t="str">
        <f aca="false">IF(COUNTA(A49:J49)=0,"",IF(OR(R49&lt;&gt;"READY",COUNTIF(Targets!$D$5:$D$7,"READY")&lt;&gt;3),"NEEDS REVIEW",IFERROR(IF(AND(N49&lt;&gt;"",P49&lt;&gt;"",O49&lt;&gt;"",ROUND(N49,3)&gt;=ROUND(Targets!$B$5,3),ROUND(P49,2)&gt;=ROUND(Targets!$B$6,2),ROUND(O49,3)&gt;=ROUND(Targets!$B$7,3)),"MEETS TARGETS","REVIEW"),"REVIEW")))</f>
        <v/>
      </c>
      <c r="R49" s="17" t="str">
        <f aca="false">IF(COUNTA(A49:J49)=0,"",IFERROR(IF(A49="","ENTER MARKET DATE",IF(NOT(ISNUMBER(A49)),"ENTER A VALID DATE",IF(B49="","ENTER MARKET NAME",IF(C49="","ENTER PRODUCT BATCH",IF(COUNTIFS($A$5:$A$104,A49,$B$5:$B$104,B49,$C$5:$C$104,C49)&gt;1,"REMOVE DUPLICATE PRODUCT ROW",IF(OR(NOT(ISNUMBER(D49)),D49&lt;=0,D49&lt;&gt;INT(D49)),"ENTER UNITS BROUGHT AS A POSITIVE WHOLE NUMBER",IF(OR(NOT(ISNUMBER(E49)),E49&lt;0,E49&lt;&gt;INT(E49),E49&gt;D49),"CHECK WHOLE UNITS SOLD",IF(OR(NOT(ISNUMBER(F49)),F49&lt;0),"ENTER SALES AS 0 OR MORE",IF(OR(NOT(ISNUMBER(G49)),G49&lt;0),"ENTER INGREDIENT COST AS 0 OR MORE",IF(OR(NOT(ISNUMBER(H49)),H49&lt;0),"ENTER PACKAGING COST AS 0 OR MORE",IF(OR(NOT(ISNUMBER(I49)),I49&lt;0),"ENTER PRODUCT WORK HOURS AS 0 OR MORE",IF(OR(NOT(ISNUMBER(J49)),J49&lt;0),"ENTER TIME VALUE AS 0 OR MORE",IF(COUNTIFS('Market Days'!$A$5:$A$54,A49,'Market Days'!$B$5:$B$54,B49,'Market Days'!$I$5:$I$54,"READY")&lt;&gt;1,"FIX OR ADD MATCHING MARKET DAY","READY"))))))))))))),"FIX INVALID PRODUCT ENTRY"))</f>
        <v/>
      </c>
    </row>
    <row r="50" customFormat="false" ht="22" hidden="false" customHeight="true" outlineLevel="0" collapsed="false">
      <c r="A50" s="27"/>
      <c r="B50" s="28"/>
      <c r="C50" s="28"/>
      <c r="D50" s="28"/>
      <c r="E50" s="28"/>
      <c r="F50" s="19"/>
      <c r="G50" s="19"/>
      <c r="H50" s="19"/>
      <c r="I50" s="29"/>
      <c r="J50" s="19"/>
      <c r="K50" s="34" t="str">
        <f aca="false">IF(R50&lt;&gt;"READY","",IFERROR(ROUND((ROUND(SUMIFS('Market Days'!$C$5:$C$54,'Market Days'!$A$5:$A$54,A50,'Market Days'!$B$5:$B$54,B50,'Market Days'!$I$5:$I$54,"READY"),2)+ROUND(SUMIFS('Market Days'!$D$5:$D$54,'Market Days'!$A$5:$A$54,A50,'Market Days'!$B$5:$B$54,B50,'Market Days'!$I$5:$I$54,"READY"),2))/COUNTIFS($A$5:$A$104,A50,$B$5:$B$104,B50,$R$5:$R$104,"READY"),2),""))</f>
        <v/>
      </c>
      <c r="L50" s="34" t="str">
        <f aca="false">IF(R50&lt;&gt;"READY","",IFERROR(ROUND(ROUND(G50,2)+ROUND(H50,2)+ROUND(I50*ROUND(J50,2),2)+K50,2),""))</f>
        <v/>
      </c>
      <c r="M50" s="34" t="str">
        <f aca="false">IF(R50&lt;&gt;"READY","",IFERROR(ROUND(ROUND(F50,2)-L50,2),""))</f>
        <v/>
      </c>
      <c r="N50" s="35" t="str">
        <f aca="false">IF(R50&lt;&gt;"READY","",IFERROR(IF(ROUND(F50,2)=0,"",M50/ROUND(F50,2)),""))</f>
        <v/>
      </c>
      <c r="O50" s="35" t="str">
        <f aca="false">IF(R50&lt;&gt;"READY","",IFERROR(E50/D50,""))</f>
        <v/>
      </c>
      <c r="P50" s="34" t="str">
        <f aca="false">IF(R50&lt;&gt;"READY","",IFERROR(IF(I50=0,"",M50/I50),""))</f>
        <v/>
      </c>
      <c r="Q50" s="36" t="str">
        <f aca="false">IF(COUNTA(A50:J50)=0,"",IF(OR(R50&lt;&gt;"READY",COUNTIF(Targets!$D$5:$D$7,"READY")&lt;&gt;3),"NEEDS REVIEW",IFERROR(IF(AND(N50&lt;&gt;"",P50&lt;&gt;"",O50&lt;&gt;"",ROUND(N50,3)&gt;=ROUND(Targets!$B$5,3),ROUND(P50,2)&gt;=ROUND(Targets!$B$6,2),ROUND(O50,3)&gt;=ROUND(Targets!$B$7,3)),"MEETS TARGETS","REVIEW"),"REVIEW")))</f>
        <v/>
      </c>
      <c r="R50" s="17" t="str">
        <f aca="false">IF(COUNTA(A50:J50)=0,"",IFERROR(IF(A50="","ENTER MARKET DATE",IF(NOT(ISNUMBER(A50)),"ENTER A VALID DATE",IF(B50="","ENTER MARKET NAME",IF(C50="","ENTER PRODUCT BATCH",IF(COUNTIFS($A$5:$A$104,A50,$B$5:$B$104,B50,$C$5:$C$104,C50)&gt;1,"REMOVE DUPLICATE PRODUCT ROW",IF(OR(NOT(ISNUMBER(D50)),D50&lt;=0,D50&lt;&gt;INT(D50)),"ENTER UNITS BROUGHT AS A POSITIVE WHOLE NUMBER",IF(OR(NOT(ISNUMBER(E50)),E50&lt;0,E50&lt;&gt;INT(E50),E50&gt;D50),"CHECK WHOLE UNITS SOLD",IF(OR(NOT(ISNUMBER(F50)),F50&lt;0),"ENTER SALES AS 0 OR MORE",IF(OR(NOT(ISNUMBER(G50)),G50&lt;0),"ENTER INGREDIENT COST AS 0 OR MORE",IF(OR(NOT(ISNUMBER(H50)),H50&lt;0),"ENTER PACKAGING COST AS 0 OR MORE",IF(OR(NOT(ISNUMBER(I50)),I50&lt;0),"ENTER PRODUCT WORK HOURS AS 0 OR MORE",IF(OR(NOT(ISNUMBER(J50)),J50&lt;0),"ENTER TIME VALUE AS 0 OR MORE",IF(COUNTIFS('Market Days'!$A$5:$A$54,A50,'Market Days'!$B$5:$B$54,B50,'Market Days'!$I$5:$I$54,"READY")&lt;&gt;1,"FIX OR ADD MATCHING MARKET DAY","READY"))))))))))))),"FIX INVALID PRODUCT ENTRY"))</f>
        <v/>
      </c>
    </row>
    <row r="51" customFormat="false" ht="22" hidden="false" customHeight="true" outlineLevel="0" collapsed="false">
      <c r="A51" s="27"/>
      <c r="B51" s="28"/>
      <c r="C51" s="28"/>
      <c r="D51" s="28"/>
      <c r="E51" s="28"/>
      <c r="F51" s="19"/>
      <c r="G51" s="19"/>
      <c r="H51" s="19"/>
      <c r="I51" s="29"/>
      <c r="J51" s="19"/>
      <c r="K51" s="34" t="str">
        <f aca="false">IF(R51&lt;&gt;"READY","",IFERROR(ROUND((ROUND(SUMIFS('Market Days'!$C$5:$C$54,'Market Days'!$A$5:$A$54,A51,'Market Days'!$B$5:$B$54,B51,'Market Days'!$I$5:$I$54,"READY"),2)+ROUND(SUMIFS('Market Days'!$D$5:$D$54,'Market Days'!$A$5:$A$54,A51,'Market Days'!$B$5:$B$54,B51,'Market Days'!$I$5:$I$54,"READY"),2))/COUNTIFS($A$5:$A$104,A51,$B$5:$B$104,B51,$R$5:$R$104,"READY"),2),""))</f>
        <v/>
      </c>
      <c r="L51" s="34" t="str">
        <f aca="false">IF(R51&lt;&gt;"READY","",IFERROR(ROUND(ROUND(G51,2)+ROUND(H51,2)+ROUND(I51*ROUND(J51,2),2)+K51,2),""))</f>
        <v/>
      </c>
      <c r="M51" s="34" t="str">
        <f aca="false">IF(R51&lt;&gt;"READY","",IFERROR(ROUND(ROUND(F51,2)-L51,2),""))</f>
        <v/>
      </c>
      <c r="N51" s="35" t="str">
        <f aca="false">IF(R51&lt;&gt;"READY","",IFERROR(IF(ROUND(F51,2)=0,"",M51/ROUND(F51,2)),""))</f>
        <v/>
      </c>
      <c r="O51" s="35" t="str">
        <f aca="false">IF(R51&lt;&gt;"READY","",IFERROR(E51/D51,""))</f>
        <v/>
      </c>
      <c r="P51" s="34" t="str">
        <f aca="false">IF(R51&lt;&gt;"READY","",IFERROR(IF(I51=0,"",M51/I51),""))</f>
        <v/>
      </c>
      <c r="Q51" s="36" t="str">
        <f aca="false">IF(COUNTA(A51:J51)=0,"",IF(OR(R51&lt;&gt;"READY",COUNTIF(Targets!$D$5:$D$7,"READY")&lt;&gt;3),"NEEDS REVIEW",IFERROR(IF(AND(N51&lt;&gt;"",P51&lt;&gt;"",O51&lt;&gt;"",ROUND(N51,3)&gt;=ROUND(Targets!$B$5,3),ROUND(P51,2)&gt;=ROUND(Targets!$B$6,2),ROUND(O51,3)&gt;=ROUND(Targets!$B$7,3)),"MEETS TARGETS","REVIEW"),"REVIEW")))</f>
        <v/>
      </c>
      <c r="R51" s="17" t="str">
        <f aca="false">IF(COUNTA(A51:J51)=0,"",IFERROR(IF(A51="","ENTER MARKET DATE",IF(NOT(ISNUMBER(A51)),"ENTER A VALID DATE",IF(B51="","ENTER MARKET NAME",IF(C51="","ENTER PRODUCT BATCH",IF(COUNTIFS($A$5:$A$104,A51,$B$5:$B$104,B51,$C$5:$C$104,C51)&gt;1,"REMOVE DUPLICATE PRODUCT ROW",IF(OR(NOT(ISNUMBER(D51)),D51&lt;=0,D51&lt;&gt;INT(D51)),"ENTER UNITS BROUGHT AS A POSITIVE WHOLE NUMBER",IF(OR(NOT(ISNUMBER(E51)),E51&lt;0,E51&lt;&gt;INT(E51),E51&gt;D51),"CHECK WHOLE UNITS SOLD",IF(OR(NOT(ISNUMBER(F51)),F51&lt;0),"ENTER SALES AS 0 OR MORE",IF(OR(NOT(ISNUMBER(G51)),G51&lt;0),"ENTER INGREDIENT COST AS 0 OR MORE",IF(OR(NOT(ISNUMBER(H51)),H51&lt;0),"ENTER PACKAGING COST AS 0 OR MORE",IF(OR(NOT(ISNUMBER(I51)),I51&lt;0),"ENTER PRODUCT WORK HOURS AS 0 OR MORE",IF(OR(NOT(ISNUMBER(J51)),J51&lt;0),"ENTER TIME VALUE AS 0 OR MORE",IF(COUNTIFS('Market Days'!$A$5:$A$54,A51,'Market Days'!$B$5:$B$54,B51,'Market Days'!$I$5:$I$54,"READY")&lt;&gt;1,"FIX OR ADD MATCHING MARKET DAY","READY"))))))))))))),"FIX INVALID PRODUCT ENTRY"))</f>
        <v/>
      </c>
    </row>
    <row r="52" customFormat="false" ht="22" hidden="false" customHeight="true" outlineLevel="0" collapsed="false">
      <c r="A52" s="27"/>
      <c r="B52" s="28"/>
      <c r="C52" s="28"/>
      <c r="D52" s="28"/>
      <c r="E52" s="28"/>
      <c r="F52" s="19"/>
      <c r="G52" s="19"/>
      <c r="H52" s="19"/>
      <c r="I52" s="29"/>
      <c r="J52" s="19"/>
      <c r="K52" s="34" t="str">
        <f aca="false">IF(R52&lt;&gt;"READY","",IFERROR(ROUND((ROUND(SUMIFS('Market Days'!$C$5:$C$54,'Market Days'!$A$5:$A$54,A52,'Market Days'!$B$5:$B$54,B52,'Market Days'!$I$5:$I$54,"READY"),2)+ROUND(SUMIFS('Market Days'!$D$5:$D$54,'Market Days'!$A$5:$A$54,A52,'Market Days'!$B$5:$B$54,B52,'Market Days'!$I$5:$I$54,"READY"),2))/COUNTIFS($A$5:$A$104,A52,$B$5:$B$104,B52,$R$5:$R$104,"READY"),2),""))</f>
        <v/>
      </c>
      <c r="L52" s="34" t="str">
        <f aca="false">IF(R52&lt;&gt;"READY","",IFERROR(ROUND(ROUND(G52,2)+ROUND(H52,2)+ROUND(I52*ROUND(J52,2),2)+K52,2),""))</f>
        <v/>
      </c>
      <c r="M52" s="34" t="str">
        <f aca="false">IF(R52&lt;&gt;"READY","",IFERROR(ROUND(ROUND(F52,2)-L52,2),""))</f>
        <v/>
      </c>
      <c r="N52" s="35" t="str">
        <f aca="false">IF(R52&lt;&gt;"READY","",IFERROR(IF(ROUND(F52,2)=0,"",M52/ROUND(F52,2)),""))</f>
        <v/>
      </c>
      <c r="O52" s="35" t="str">
        <f aca="false">IF(R52&lt;&gt;"READY","",IFERROR(E52/D52,""))</f>
        <v/>
      </c>
      <c r="P52" s="34" t="str">
        <f aca="false">IF(R52&lt;&gt;"READY","",IFERROR(IF(I52=0,"",M52/I52),""))</f>
        <v/>
      </c>
      <c r="Q52" s="36" t="str">
        <f aca="false">IF(COUNTA(A52:J52)=0,"",IF(OR(R52&lt;&gt;"READY",COUNTIF(Targets!$D$5:$D$7,"READY")&lt;&gt;3),"NEEDS REVIEW",IFERROR(IF(AND(N52&lt;&gt;"",P52&lt;&gt;"",O52&lt;&gt;"",ROUND(N52,3)&gt;=ROUND(Targets!$B$5,3),ROUND(P52,2)&gt;=ROUND(Targets!$B$6,2),ROUND(O52,3)&gt;=ROUND(Targets!$B$7,3)),"MEETS TARGETS","REVIEW"),"REVIEW")))</f>
        <v/>
      </c>
      <c r="R52" s="17" t="str">
        <f aca="false">IF(COUNTA(A52:J52)=0,"",IFERROR(IF(A52="","ENTER MARKET DATE",IF(NOT(ISNUMBER(A52)),"ENTER A VALID DATE",IF(B52="","ENTER MARKET NAME",IF(C52="","ENTER PRODUCT BATCH",IF(COUNTIFS($A$5:$A$104,A52,$B$5:$B$104,B52,$C$5:$C$104,C52)&gt;1,"REMOVE DUPLICATE PRODUCT ROW",IF(OR(NOT(ISNUMBER(D52)),D52&lt;=0,D52&lt;&gt;INT(D52)),"ENTER UNITS BROUGHT AS A POSITIVE WHOLE NUMBER",IF(OR(NOT(ISNUMBER(E52)),E52&lt;0,E52&lt;&gt;INT(E52),E52&gt;D52),"CHECK WHOLE UNITS SOLD",IF(OR(NOT(ISNUMBER(F52)),F52&lt;0),"ENTER SALES AS 0 OR MORE",IF(OR(NOT(ISNUMBER(G52)),G52&lt;0),"ENTER INGREDIENT COST AS 0 OR MORE",IF(OR(NOT(ISNUMBER(H52)),H52&lt;0),"ENTER PACKAGING COST AS 0 OR MORE",IF(OR(NOT(ISNUMBER(I52)),I52&lt;0),"ENTER PRODUCT WORK HOURS AS 0 OR MORE",IF(OR(NOT(ISNUMBER(J52)),J52&lt;0),"ENTER TIME VALUE AS 0 OR MORE",IF(COUNTIFS('Market Days'!$A$5:$A$54,A52,'Market Days'!$B$5:$B$54,B52,'Market Days'!$I$5:$I$54,"READY")&lt;&gt;1,"FIX OR ADD MATCHING MARKET DAY","READY"))))))))))))),"FIX INVALID PRODUCT ENTRY"))</f>
        <v/>
      </c>
    </row>
    <row r="53" customFormat="false" ht="22" hidden="false" customHeight="true" outlineLevel="0" collapsed="false">
      <c r="A53" s="27"/>
      <c r="B53" s="28"/>
      <c r="C53" s="28"/>
      <c r="D53" s="28"/>
      <c r="E53" s="28"/>
      <c r="F53" s="19"/>
      <c r="G53" s="19"/>
      <c r="H53" s="19"/>
      <c r="I53" s="29"/>
      <c r="J53" s="19"/>
      <c r="K53" s="34" t="str">
        <f aca="false">IF(R53&lt;&gt;"READY","",IFERROR(ROUND((ROUND(SUMIFS('Market Days'!$C$5:$C$54,'Market Days'!$A$5:$A$54,A53,'Market Days'!$B$5:$B$54,B53,'Market Days'!$I$5:$I$54,"READY"),2)+ROUND(SUMIFS('Market Days'!$D$5:$D$54,'Market Days'!$A$5:$A$54,A53,'Market Days'!$B$5:$B$54,B53,'Market Days'!$I$5:$I$54,"READY"),2))/COUNTIFS($A$5:$A$104,A53,$B$5:$B$104,B53,$R$5:$R$104,"READY"),2),""))</f>
        <v/>
      </c>
      <c r="L53" s="34" t="str">
        <f aca="false">IF(R53&lt;&gt;"READY","",IFERROR(ROUND(ROUND(G53,2)+ROUND(H53,2)+ROUND(I53*ROUND(J53,2),2)+K53,2),""))</f>
        <v/>
      </c>
      <c r="M53" s="34" t="str">
        <f aca="false">IF(R53&lt;&gt;"READY","",IFERROR(ROUND(ROUND(F53,2)-L53,2),""))</f>
        <v/>
      </c>
      <c r="N53" s="35" t="str">
        <f aca="false">IF(R53&lt;&gt;"READY","",IFERROR(IF(ROUND(F53,2)=0,"",M53/ROUND(F53,2)),""))</f>
        <v/>
      </c>
      <c r="O53" s="35" t="str">
        <f aca="false">IF(R53&lt;&gt;"READY","",IFERROR(E53/D53,""))</f>
        <v/>
      </c>
      <c r="P53" s="34" t="str">
        <f aca="false">IF(R53&lt;&gt;"READY","",IFERROR(IF(I53=0,"",M53/I53),""))</f>
        <v/>
      </c>
      <c r="Q53" s="36" t="str">
        <f aca="false">IF(COUNTA(A53:J53)=0,"",IF(OR(R53&lt;&gt;"READY",COUNTIF(Targets!$D$5:$D$7,"READY")&lt;&gt;3),"NEEDS REVIEW",IFERROR(IF(AND(N53&lt;&gt;"",P53&lt;&gt;"",O53&lt;&gt;"",ROUND(N53,3)&gt;=ROUND(Targets!$B$5,3),ROUND(P53,2)&gt;=ROUND(Targets!$B$6,2),ROUND(O53,3)&gt;=ROUND(Targets!$B$7,3)),"MEETS TARGETS","REVIEW"),"REVIEW")))</f>
        <v/>
      </c>
      <c r="R53" s="17" t="str">
        <f aca="false">IF(COUNTA(A53:J53)=0,"",IFERROR(IF(A53="","ENTER MARKET DATE",IF(NOT(ISNUMBER(A53)),"ENTER A VALID DATE",IF(B53="","ENTER MARKET NAME",IF(C53="","ENTER PRODUCT BATCH",IF(COUNTIFS($A$5:$A$104,A53,$B$5:$B$104,B53,$C$5:$C$104,C53)&gt;1,"REMOVE DUPLICATE PRODUCT ROW",IF(OR(NOT(ISNUMBER(D53)),D53&lt;=0,D53&lt;&gt;INT(D53)),"ENTER UNITS BROUGHT AS A POSITIVE WHOLE NUMBER",IF(OR(NOT(ISNUMBER(E53)),E53&lt;0,E53&lt;&gt;INT(E53),E53&gt;D53),"CHECK WHOLE UNITS SOLD",IF(OR(NOT(ISNUMBER(F53)),F53&lt;0),"ENTER SALES AS 0 OR MORE",IF(OR(NOT(ISNUMBER(G53)),G53&lt;0),"ENTER INGREDIENT COST AS 0 OR MORE",IF(OR(NOT(ISNUMBER(H53)),H53&lt;0),"ENTER PACKAGING COST AS 0 OR MORE",IF(OR(NOT(ISNUMBER(I53)),I53&lt;0),"ENTER PRODUCT WORK HOURS AS 0 OR MORE",IF(OR(NOT(ISNUMBER(J53)),J53&lt;0),"ENTER TIME VALUE AS 0 OR MORE",IF(COUNTIFS('Market Days'!$A$5:$A$54,A53,'Market Days'!$B$5:$B$54,B53,'Market Days'!$I$5:$I$54,"READY")&lt;&gt;1,"FIX OR ADD MATCHING MARKET DAY","READY"))))))))))))),"FIX INVALID PRODUCT ENTRY"))</f>
        <v/>
      </c>
    </row>
    <row r="54" customFormat="false" ht="22" hidden="false" customHeight="true" outlineLevel="0" collapsed="false">
      <c r="A54" s="27"/>
      <c r="B54" s="28"/>
      <c r="C54" s="28"/>
      <c r="D54" s="28"/>
      <c r="E54" s="28"/>
      <c r="F54" s="19"/>
      <c r="G54" s="19"/>
      <c r="H54" s="19"/>
      <c r="I54" s="29"/>
      <c r="J54" s="19"/>
      <c r="K54" s="34" t="str">
        <f aca="false">IF(R54&lt;&gt;"READY","",IFERROR(ROUND((ROUND(SUMIFS('Market Days'!$C$5:$C$54,'Market Days'!$A$5:$A$54,A54,'Market Days'!$B$5:$B$54,B54,'Market Days'!$I$5:$I$54,"READY"),2)+ROUND(SUMIFS('Market Days'!$D$5:$D$54,'Market Days'!$A$5:$A$54,A54,'Market Days'!$B$5:$B$54,B54,'Market Days'!$I$5:$I$54,"READY"),2))/COUNTIFS($A$5:$A$104,A54,$B$5:$B$104,B54,$R$5:$R$104,"READY"),2),""))</f>
        <v/>
      </c>
      <c r="L54" s="34" t="str">
        <f aca="false">IF(R54&lt;&gt;"READY","",IFERROR(ROUND(ROUND(G54,2)+ROUND(H54,2)+ROUND(I54*ROUND(J54,2),2)+K54,2),""))</f>
        <v/>
      </c>
      <c r="M54" s="34" t="str">
        <f aca="false">IF(R54&lt;&gt;"READY","",IFERROR(ROUND(ROUND(F54,2)-L54,2),""))</f>
        <v/>
      </c>
      <c r="N54" s="35" t="str">
        <f aca="false">IF(R54&lt;&gt;"READY","",IFERROR(IF(ROUND(F54,2)=0,"",M54/ROUND(F54,2)),""))</f>
        <v/>
      </c>
      <c r="O54" s="35" t="str">
        <f aca="false">IF(R54&lt;&gt;"READY","",IFERROR(E54/D54,""))</f>
        <v/>
      </c>
      <c r="P54" s="34" t="str">
        <f aca="false">IF(R54&lt;&gt;"READY","",IFERROR(IF(I54=0,"",M54/I54),""))</f>
        <v/>
      </c>
      <c r="Q54" s="36" t="str">
        <f aca="false">IF(COUNTA(A54:J54)=0,"",IF(OR(R54&lt;&gt;"READY",COUNTIF(Targets!$D$5:$D$7,"READY")&lt;&gt;3),"NEEDS REVIEW",IFERROR(IF(AND(N54&lt;&gt;"",P54&lt;&gt;"",O54&lt;&gt;"",ROUND(N54,3)&gt;=ROUND(Targets!$B$5,3),ROUND(P54,2)&gt;=ROUND(Targets!$B$6,2),ROUND(O54,3)&gt;=ROUND(Targets!$B$7,3)),"MEETS TARGETS","REVIEW"),"REVIEW")))</f>
        <v/>
      </c>
      <c r="R54" s="17" t="str">
        <f aca="false">IF(COUNTA(A54:J54)=0,"",IFERROR(IF(A54="","ENTER MARKET DATE",IF(NOT(ISNUMBER(A54)),"ENTER A VALID DATE",IF(B54="","ENTER MARKET NAME",IF(C54="","ENTER PRODUCT BATCH",IF(COUNTIFS($A$5:$A$104,A54,$B$5:$B$104,B54,$C$5:$C$104,C54)&gt;1,"REMOVE DUPLICATE PRODUCT ROW",IF(OR(NOT(ISNUMBER(D54)),D54&lt;=0,D54&lt;&gt;INT(D54)),"ENTER UNITS BROUGHT AS A POSITIVE WHOLE NUMBER",IF(OR(NOT(ISNUMBER(E54)),E54&lt;0,E54&lt;&gt;INT(E54),E54&gt;D54),"CHECK WHOLE UNITS SOLD",IF(OR(NOT(ISNUMBER(F54)),F54&lt;0),"ENTER SALES AS 0 OR MORE",IF(OR(NOT(ISNUMBER(G54)),G54&lt;0),"ENTER INGREDIENT COST AS 0 OR MORE",IF(OR(NOT(ISNUMBER(H54)),H54&lt;0),"ENTER PACKAGING COST AS 0 OR MORE",IF(OR(NOT(ISNUMBER(I54)),I54&lt;0),"ENTER PRODUCT WORK HOURS AS 0 OR MORE",IF(OR(NOT(ISNUMBER(J54)),J54&lt;0),"ENTER TIME VALUE AS 0 OR MORE",IF(COUNTIFS('Market Days'!$A$5:$A$54,A54,'Market Days'!$B$5:$B$54,B54,'Market Days'!$I$5:$I$54,"READY")&lt;&gt;1,"FIX OR ADD MATCHING MARKET DAY","READY"))))))))))))),"FIX INVALID PRODUCT ENTRY"))</f>
        <v/>
      </c>
    </row>
    <row r="55" customFormat="false" ht="22" hidden="false" customHeight="true" outlineLevel="0" collapsed="false">
      <c r="A55" s="27"/>
      <c r="B55" s="28"/>
      <c r="C55" s="28"/>
      <c r="D55" s="28"/>
      <c r="E55" s="28"/>
      <c r="F55" s="19"/>
      <c r="G55" s="19"/>
      <c r="H55" s="19"/>
      <c r="I55" s="29"/>
      <c r="J55" s="19"/>
      <c r="K55" s="34" t="str">
        <f aca="false">IF(R55&lt;&gt;"READY","",IFERROR(ROUND((ROUND(SUMIFS('Market Days'!$C$5:$C$54,'Market Days'!$A$5:$A$54,A55,'Market Days'!$B$5:$B$54,B55,'Market Days'!$I$5:$I$54,"READY"),2)+ROUND(SUMIFS('Market Days'!$D$5:$D$54,'Market Days'!$A$5:$A$54,A55,'Market Days'!$B$5:$B$54,B55,'Market Days'!$I$5:$I$54,"READY"),2))/COUNTIFS($A$5:$A$104,A55,$B$5:$B$104,B55,$R$5:$R$104,"READY"),2),""))</f>
        <v/>
      </c>
      <c r="L55" s="34" t="str">
        <f aca="false">IF(R55&lt;&gt;"READY","",IFERROR(ROUND(ROUND(G55,2)+ROUND(H55,2)+ROUND(I55*ROUND(J55,2),2)+K55,2),""))</f>
        <v/>
      </c>
      <c r="M55" s="34" t="str">
        <f aca="false">IF(R55&lt;&gt;"READY","",IFERROR(ROUND(ROUND(F55,2)-L55,2),""))</f>
        <v/>
      </c>
      <c r="N55" s="35" t="str">
        <f aca="false">IF(R55&lt;&gt;"READY","",IFERROR(IF(ROUND(F55,2)=0,"",M55/ROUND(F55,2)),""))</f>
        <v/>
      </c>
      <c r="O55" s="35" t="str">
        <f aca="false">IF(R55&lt;&gt;"READY","",IFERROR(E55/D55,""))</f>
        <v/>
      </c>
      <c r="P55" s="34" t="str">
        <f aca="false">IF(R55&lt;&gt;"READY","",IFERROR(IF(I55=0,"",M55/I55),""))</f>
        <v/>
      </c>
      <c r="Q55" s="36" t="str">
        <f aca="false">IF(COUNTA(A55:J55)=0,"",IF(OR(R55&lt;&gt;"READY",COUNTIF(Targets!$D$5:$D$7,"READY")&lt;&gt;3),"NEEDS REVIEW",IFERROR(IF(AND(N55&lt;&gt;"",P55&lt;&gt;"",O55&lt;&gt;"",ROUND(N55,3)&gt;=ROUND(Targets!$B$5,3),ROUND(P55,2)&gt;=ROUND(Targets!$B$6,2),ROUND(O55,3)&gt;=ROUND(Targets!$B$7,3)),"MEETS TARGETS","REVIEW"),"REVIEW")))</f>
        <v/>
      </c>
      <c r="R55" s="17" t="str">
        <f aca="false">IF(COUNTA(A55:J55)=0,"",IFERROR(IF(A55="","ENTER MARKET DATE",IF(NOT(ISNUMBER(A55)),"ENTER A VALID DATE",IF(B55="","ENTER MARKET NAME",IF(C55="","ENTER PRODUCT BATCH",IF(COUNTIFS($A$5:$A$104,A55,$B$5:$B$104,B55,$C$5:$C$104,C55)&gt;1,"REMOVE DUPLICATE PRODUCT ROW",IF(OR(NOT(ISNUMBER(D55)),D55&lt;=0,D55&lt;&gt;INT(D55)),"ENTER UNITS BROUGHT AS A POSITIVE WHOLE NUMBER",IF(OR(NOT(ISNUMBER(E55)),E55&lt;0,E55&lt;&gt;INT(E55),E55&gt;D55),"CHECK WHOLE UNITS SOLD",IF(OR(NOT(ISNUMBER(F55)),F55&lt;0),"ENTER SALES AS 0 OR MORE",IF(OR(NOT(ISNUMBER(G55)),G55&lt;0),"ENTER INGREDIENT COST AS 0 OR MORE",IF(OR(NOT(ISNUMBER(H55)),H55&lt;0),"ENTER PACKAGING COST AS 0 OR MORE",IF(OR(NOT(ISNUMBER(I55)),I55&lt;0),"ENTER PRODUCT WORK HOURS AS 0 OR MORE",IF(OR(NOT(ISNUMBER(J55)),J55&lt;0),"ENTER TIME VALUE AS 0 OR MORE",IF(COUNTIFS('Market Days'!$A$5:$A$54,A55,'Market Days'!$B$5:$B$54,B55,'Market Days'!$I$5:$I$54,"READY")&lt;&gt;1,"FIX OR ADD MATCHING MARKET DAY","READY"))))))))))))),"FIX INVALID PRODUCT ENTRY"))</f>
        <v/>
      </c>
    </row>
    <row r="56" customFormat="false" ht="22" hidden="false" customHeight="true" outlineLevel="0" collapsed="false">
      <c r="A56" s="27"/>
      <c r="B56" s="28"/>
      <c r="C56" s="28"/>
      <c r="D56" s="28"/>
      <c r="E56" s="28"/>
      <c r="F56" s="19"/>
      <c r="G56" s="19"/>
      <c r="H56" s="19"/>
      <c r="I56" s="29"/>
      <c r="J56" s="19"/>
      <c r="K56" s="34" t="str">
        <f aca="false">IF(R56&lt;&gt;"READY","",IFERROR(ROUND((ROUND(SUMIFS('Market Days'!$C$5:$C$54,'Market Days'!$A$5:$A$54,A56,'Market Days'!$B$5:$B$54,B56,'Market Days'!$I$5:$I$54,"READY"),2)+ROUND(SUMIFS('Market Days'!$D$5:$D$54,'Market Days'!$A$5:$A$54,A56,'Market Days'!$B$5:$B$54,B56,'Market Days'!$I$5:$I$54,"READY"),2))/COUNTIFS($A$5:$A$104,A56,$B$5:$B$104,B56,$R$5:$R$104,"READY"),2),""))</f>
        <v/>
      </c>
      <c r="L56" s="34" t="str">
        <f aca="false">IF(R56&lt;&gt;"READY","",IFERROR(ROUND(ROUND(G56,2)+ROUND(H56,2)+ROUND(I56*ROUND(J56,2),2)+K56,2),""))</f>
        <v/>
      </c>
      <c r="M56" s="34" t="str">
        <f aca="false">IF(R56&lt;&gt;"READY","",IFERROR(ROUND(ROUND(F56,2)-L56,2),""))</f>
        <v/>
      </c>
      <c r="N56" s="35" t="str">
        <f aca="false">IF(R56&lt;&gt;"READY","",IFERROR(IF(ROUND(F56,2)=0,"",M56/ROUND(F56,2)),""))</f>
        <v/>
      </c>
      <c r="O56" s="35" t="str">
        <f aca="false">IF(R56&lt;&gt;"READY","",IFERROR(E56/D56,""))</f>
        <v/>
      </c>
      <c r="P56" s="34" t="str">
        <f aca="false">IF(R56&lt;&gt;"READY","",IFERROR(IF(I56=0,"",M56/I56),""))</f>
        <v/>
      </c>
      <c r="Q56" s="36" t="str">
        <f aca="false">IF(COUNTA(A56:J56)=0,"",IF(OR(R56&lt;&gt;"READY",COUNTIF(Targets!$D$5:$D$7,"READY")&lt;&gt;3),"NEEDS REVIEW",IFERROR(IF(AND(N56&lt;&gt;"",P56&lt;&gt;"",O56&lt;&gt;"",ROUND(N56,3)&gt;=ROUND(Targets!$B$5,3),ROUND(P56,2)&gt;=ROUND(Targets!$B$6,2),ROUND(O56,3)&gt;=ROUND(Targets!$B$7,3)),"MEETS TARGETS","REVIEW"),"REVIEW")))</f>
        <v/>
      </c>
      <c r="R56" s="17" t="str">
        <f aca="false">IF(COUNTA(A56:J56)=0,"",IFERROR(IF(A56="","ENTER MARKET DATE",IF(NOT(ISNUMBER(A56)),"ENTER A VALID DATE",IF(B56="","ENTER MARKET NAME",IF(C56="","ENTER PRODUCT BATCH",IF(COUNTIFS($A$5:$A$104,A56,$B$5:$B$104,B56,$C$5:$C$104,C56)&gt;1,"REMOVE DUPLICATE PRODUCT ROW",IF(OR(NOT(ISNUMBER(D56)),D56&lt;=0,D56&lt;&gt;INT(D56)),"ENTER UNITS BROUGHT AS A POSITIVE WHOLE NUMBER",IF(OR(NOT(ISNUMBER(E56)),E56&lt;0,E56&lt;&gt;INT(E56),E56&gt;D56),"CHECK WHOLE UNITS SOLD",IF(OR(NOT(ISNUMBER(F56)),F56&lt;0),"ENTER SALES AS 0 OR MORE",IF(OR(NOT(ISNUMBER(G56)),G56&lt;0),"ENTER INGREDIENT COST AS 0 OR MORE",IF(OR(NOT(ISNUMBER(H56)),H56&lt;0),"ENTER PACKAGING COST AS 0 OR MORE",IF(OR(NOT(ISNUMBER(I56)),I56&lt;0),"ENTER PRODUCT WORK HOURS AS 0 OR MORE",IF(OR(NOT(ISNUMBER(J56)),J56&lt;0),"ENTER TIME VALUE AS 0 OR MORE",IF(COUNTIFS('Market Days'!$A$5:$A$54,A56,'Market Days'!$B$5:$B$54,B56,'Market Days'!$I$5:$I$54,"READY")&lt;&gt;1,"FIX OR ADD MATCHING MARKET DAY","READY"))))))))))))),"FIX INVALID PRODUCT ENTRY"))</f>
        <v/>
      </c>
    </row>
    <row r="57" customFormat="false" ht="22" hidden="false" customHeight="true" outlineLevel="0" collapsed="false">
      <c r="A57" s="27"/>
      <c r="B57" s="28"/>
      <c r="C57" s="28"/>
      <c r="D57" s="28"/>
      <c r="E57" s="28"/>
      <c r="F57" s="19"/>
      <c r="G57" s="19"/>
      <c r="H57" s="19"/>
      <c r="I57" s="29"/>
      <c r="J57" s="19"/>
      <c r="K57" s="34" t="str">
        <f aca="false">IF(R57&lt;&gt;"READY","",IFERROR(ROUND((ROUND(SUMIFS('Market Days'!$C$5:$C$54,'Market Days'!$A$5:$A$54,A57,'Market Days'!$B$5:$B$54,B57,'Market Days'!$I$5:$I$54,"READY"),2)+ROUND(SUMIFS('Market Days'!$D$5:$D$54,'Market Days'!$A$5:$A$54,A57,'Market Days'!$B$5:$B$54,B57,'Market Days'!$I$5:$I$54,"READY"),2))/COUNTIFS($A$5:$A$104,A57,$B$5:$B$104,B57,$R$5:$R$104,"READY"),2),""))</f>
        <v/>
      </c>
      <c r="L57" s="34" t="str">
        <f aca="false">IF(R57&lt;&gt;"READY","",IFERROR(ROUND(ROUND(G57,2)+ROUND(H57,2)+ROUND(I57*ROUND(J57,2),2)+K57,2),""))</f>
        <v/>
      </c>
      <c r="M57" s="34" t="str">
        <f aca="false">IF(R57&lt;&gt;"READY","",IFERROR(ROUND(ROUND(F57,2)-L57,2),""))</f>
        <v/>
      </c>
      <c r="N57" s="35" t="str">
        <f aca="false">IF(R57&lt;&gt;"READY","",IFERROR(IF(ROUND(F57,2)=0,"",M57/ROUND(F57,2)),""))</f>
        <v/>
      </c>
      <c r="O57" s="35" t="str">
        <f aca="false">IF(R57&lt;&gt;"READY","",IFERROR(E57/D57,""))</f>
        <v/>
      </c>
      <c r="P57" s="34" t="str">
        <f aca="false">IF(R57&lt;&gt;"READY","",IFERROR(IF(I57=0,"",M57/I57),""))</f>
        <v/>
      </c>
      <c r="Q57" s="36" t="str">
        <f aca="false">IF(COUNTA(A57:J57)=0,"",IF(OR(R57&lt;&gt;"READY",COUNTIF(Targets!$D$5:$D$7,"READY")&lt;&gt;3),"NEEDS REVIEW",IFERROR(IF(AND(N57&lt;&gt;"",P57&lt;&gt;"",O57&lt;&gt;"",ROUND(N57,3)&gt;=ROUND(Targets!$B$5,3),ROUND(P57,2)&gt;=ROUND(Targets!$B$6,2),ROUND(O57,3)&gt;=ROUND(Targets!$B$7,3)),"MEETS TARGETS","REVIEW"),"REVIEW")))</f>
        <v/>
      </c>
      <c r="R57" s="17" t="str">
        <f aca="false">IF(COUNTA(A57:J57)=0,"",IFERROR(IF(A57="","ENTER MARKET DATE",IF(NOT(ISNUMBER(A57)),"ENTER A VALID DATE",IF(B57="","ENTER MARKET NAME",IF(C57="","ENTER PRODUCT BATCH",IF(COUNTIFS($A$5:$A$104,A57,$B$5:$B$104,B57,$C$5:$C$104,C57)&gt;1,"REMOVE DUPLICATE PRODUCT ROW",IF(OR(NOT(ISNUMBER(D57)),D57&lt;=0,D57&lt;&gt;INT(D57)),"ENTER UNITS BROUGHT AS A POSITIVE WHOLE NUMBER",IF(OR(NOT(ISNUMBER(E57)),E57&lt;0,E57&lt;&gt;INT(E57),E57&gt;D57),"CHECK WHOLE UNITS SOLD",IF(OR(NOT(ISNUMBER(F57)),F57&lt;0),"ENTER SALES AS 0 OR MORE",IF(OR(NOT(ISNUMBER(G57)),G57&lt;0),"ENTER INGREDIENT COST AS 0 OR MORE",IF(OR(NOT(ISNUMBER(H57)),H57&lt;0),"ENTER PACKAGING COST AS 0 OR MORE",IF(OR(NOT(ISNUMBER(I57)),I57&lt;0),"ENTER PRODUCT WORK HOURS AS 0 OR MORE",IF(OR(NOT(ISNUMBER(J57)),J57&lt;0),"ENTER TIME VALUE AS 0 OR MORE",IF(COUNTIFS('Market Days'!$A$5:$A$54,A57,'Market Days'!$B$5:$B$54,B57,'Market Days'!$I$5:$I$54,"READY")&lt;&gt;1,"FIX OR ADD MATCHING MARKET DAY","READY"))))))))))))),"FIX INVALID PRODUCT ENTRY"))</f>
        <v/>
      </c>
    </row>
    <row r="58" customFormat="false" ht="22" hidden="false" customHeight="true" outlineLevel="0" collapsed="false">
      <c r="A58" s="27"/>
      <c r="B58" s="28"/>
      <c r="C58" s="28"/>
      <c r="D58" s="28"/>
      <c r="E58" s="28"/>
      <c r="F58" s="19"/>
      <c r="G58" s="19"/>
      <c r="H58" s="19"/>
      <c r="I58" s="29"/>
      <c r="J58" s="19"/>
      <c r="K58" s="34" t="str">
        <f aca="false">IF(R58&lt;&gt;"READY","",IFERROR(ROUND((ROUND(SUMIFS('Market Days'!$C$5:$C$54,'Market Days'!$A$5:$A$54,A58,'Market Days'!$B$5:$B$54,B58,'Market Days'!$I$5:$I$54,"READY"),2)+ROUND(SUMIFS('Market Days'!$D$5:$D$54,'Market Days'!$A$5:$A$54,A58,'Market Days'!$B$5:$B$54,B58,'Market Days'!$I$5:$I$54,"READY"),2))/COUNTIFS($A$5:$A$104,A58,$B$5:$B$104,B58,$R$5:$R$104,"READY"),2),""))</f>
        <v/>
      </c>
      <c r="L58" s="34" t="str">
        <f aca="false">IF(R58&lt;&gt;"READY","",IFERROR(ROUND(ROUND(G58,2)+ROUND(H58,2)+ROUND(I58*ROUND(J58,2),2)+K58,2),""))</f>
        <v/>
      </c>
      <c r="M58" s="34" t="str">
        <f aca="false">IF(R58&lt;&gt;"READY","",IFERROR(ROUND(ROUND(F58,2)-L58,2),""))</f>
        <v/>
      </c>
      <c r="N58" s="35" t="str">
        <f aca="false">IF(R58&lt;&gt;"READY","",IFERROR(IF(ROUND(F58,2)=0,"",M58/ROUND(F58,2)),""))</f>
        <v/>
      </c>
      <c r="O58" s="35" t="str">
        <f aca="false">IF(R58&lt;&gt;"READY","",IFERROR(E58/D58,""))</f>
        <v/>
      </c>
      <c r="P58" s="34" t="str">
        <f aca="false">IF(R58&lt;&gt;"READY","",IFERROR(IF(I58=0,"",M58/I58),""))</f>
        <v/>
      </c>
      <c r="Q58" s="36" t="str">
        <f aca="false">IF(COUNTA(A58:J58)=0,"",IF(OR(R58&lt;&gt;"READY",COUNTIF(Targets!$D$5:$D$7,"READY")&lt;&gt;3),"NEEDS REVIEW",IFERROR(IF(AND(N58&lt;&gt;"",P58&lt;&gt;"",O58&lt;&gt;"",ROUND(N58,3)&gt;=ROUND(Targets!$B$5,3),ROUND(P58,2)&gt;=ROUND(Targets!$B$6,2),ROUND(O58,3)&gt;=ROUND(Targets!$B$7,3)),"MEETS TARGETS","REVIEW"),"REVIEW")))</f>
        <v/>
      </c>
      <c r="R58" s="17" t="str">
        <f aca="false">IF(COUNTA(A58:J58)=0,"",IFERROR(IF(A58="","ENTER MARKET DATE",IF(NOT(ISNUMBER(A58)),"ENTER A VALID DATE",IF(B58="","ENTER MARKET NAME",IF(C58="","ENTER PRODUCT BATCH",IF(COUNTIFS($A$5:$A$104,A58,$B$5:$B$104,B58,$C$5:$C$104,C58)&gt;1,"REMOVE DUPLICATE PRODUCT ROW",IF(OR(NOT(ISNUMBER(D58)),D58&lt;=0,D58&lt;&gt;INT(D58)),"ENTER UNITS BROUGHT AS A POSITIVE WHOLE NUMBER",IF(OR(NOT(ISNUMBER(E58)),E58&lt;0,E58&lt;&gt;INT(E58),E58&gt;D58),"CHECK WHOLE UNITS SOLD",IF(OR(NOT(ISNUMBER(F58)),F58&lt;0),"ENTER SALES AS 0 OR MORE",IF(OR(NOT(ISNUMBER(G58)),G58&lt;0),"ENTER INGREDIENT COST AS 0 OR MORE",IF(OR(NOT(ISNUMBER(H58)),H58&lt;0),"ENTER PACKAGING COST AS 0 OR MORE",IF(OR(NOT(ISNUMBER(I58)),I58&lt;0),"ENTER PRODUCT WORK HOURS AS 0 OR MORE",IF(OR(NOT(ISNUMBER(J58)),J58&lt;0),"ENTER TIME VALUE AS 0 OR MORE",IF(COUNTIFS('Market Days'!$A$5:$A$54,A58,'Market Days'!$B$5:$B$54,B58,'Market Days'!$I$5:$I$54,"READY")&lt;&gt;1,"FIX OR ADD MATCHING MARKET DAY","READY"))))))))))))),"FIX INVALID PRODUCT ENTRY"))</f>
        <v/>
      </c>
    </row>
    <row r="59" customFormat="false" ht="22" hidden="false" customHeight="true" outlineLevel="0" collapsed="false">
      <c r="A59" s="27"/>
      <c r="B59" s="28"/>
      <c r="C59" s="28"/>
      <c r="D59" s="28"/>
      <c r="E59" s="28"/>
      <c r="F59" s="19"/>
      <c r="G59" s="19"/>
      <c r="H59" s="19"/>
      <c r="I59" s="29"/>
      <c r="J59" s="19"/>
      <c r="K59" s="34" t="str">
        <f aca="false">IF(R59&lt;&gt;"READY","",IFERROR(ROUND((ROUND(SUMIFS('Market Days'!$C$5:$C$54,'Market Days'!$A$5:$A$54,A59,'Market Days'!$B$5:$B$54,B59,'Market Days'!$I$5:$I$54,"READY"),2)+ROUND(SUMIFS('Market Days'!$D$5:$D$54,'Market Days'!$A$5:$A$54,A59,'Market Days'!$B$5:$B$54,B59,'Market Days'!$I$5:$I$54,"READY"),2))/COUNTIFS($A$5:$A$104,A59,$B$5:$B$104,B59,$R$5:$R$104,"READY"),2),""))</f>
        <v/>
      </c>
      <c r="L59" s="34" t="str">
        <f aca="false">IF(R59&lt;&gt;"READY","",IFERROR(ROUND(ROUND(G59,2)+ROUND(H59,2)+ROUND(I59*ROUND(J59,2),2)+K59,2),""))</f>
        <v/>
      </c>
      <c r="M59" s="34" t="str">
        <f aca="false">IF(R59&lt;&gt;"READY","",IFERROR(ROUND(ROUND(F59,2)-L59,2),""))</f>
        <v/>
      </c>
      <c r="N59" s="35" t="str">
        <f aca="false">IF(R59&lt;&gt;"READY","",IFERROR(IF(ROUND(F59,2)=0,"",M59/ROUND(F59,2)),""))</f>
        <v/>
      </c>
      <c r="O59" s="35" t="str">
        <f aca="false">IF(R59&lt;&gt;"READY","",IFERROR(E59/D59,""))</f>
        <v/>
      </c>
      <c r="P59" s="34" t="str">
        <f aca="false">IF(R59&lt;&gt;"READY","",IFERROR(IF(I59=0,"",M59/I59),""))</f>
        <v/>
      </c>
      <c r="Q59" s="36" t="str">
        <f aca="false">IF(COUNTA(A59:J59)=0,"",IF(OR(R59&lt;&gt;"READY",COUNTIF(Targets!$D$5:$D$7,"READY")&lt;&gt;3),"NEEDS REVIEW",IFERROR(IF(AND(N59&lt;&gt;"",P59&lt;&gt;"",O59&lt;&gt;"",ROUND(N59,3)&gt;=ROUND(Targets!$B$5,3),ROUND(P59,2)&gt;=ROUND(Targets!$B$6,2),ROUND(O59,3)&gt;=ROUND(Targets!$B$7,3)),"MEETS TARGETS","REVIEW"),"REVIEW")))</f>
        <v/>
      </c>
      <c r="R59" s="17" t="str">
        <f aca="false">IF(COUNTA(A59:J59)=0,"",IFERROR(IF(A59="","ENTER MARKET DATE",IF(NOT(ISNUMBER(A59)),"ENTER A VALID DATE",IF(B59="","ENTER MARKET NAME",IF(C59="","ENTER PRODUCT BATCH",IF(COUNTIFS($A$5:$A$104,A59,$B$5:$B$104,B59,$C$5:$C$104,C59)&gt;1,"REMOVE DUPLICATE PRODUCT ROW",IF(OR(NOT(ISNUMBER(D59)),D59&lt;=0,D59&lt;&gt;INT(D59)),"ENTER UNITS BROUGHT AS A POSITIVE WHOLE NUMBER",IF(OR(NOT(ISNUMBER(E59)),E59&lt;0,E59&lt;&gt;INT(E59),E59&gt;D59),"CHECK WHOLE UNITS SOLD",IF(OR(NOT(ISNUMBER(F59)),F59&lt;0),"ENTER SALES AS 0 OR MORE",IF(OR(NOT(ISNUMBER(G59)),G59&lt;0),"ENTER INGREDIENT COST AS 0 OR MORE",IF(OR(NOT(ISNUMBER(H59)),H59&lt;0),"ENTER PACKAGING COST AS 0 OR MORE",IF(OR(NOT(ISNUMBER(I59)),I59&lt;0),"ENTER PRODUCT WORK HOURS AS 0 OR MORE",IF(OR(NOT(ISNUMBER(J59)),J59&lt;0),"ENTER TIME VALUE AS 0 OR MORE",IF(COUNTIFS('Market Days'!$A$5:$A$54,A59,'Market Days'!$B$5:$B$54,B59,'Market Days'!$I$5:$I$54,"READY")&lt;&gt;1,"FIX OR ADD MATCHING MARKET DAY","READY"))))))))))))),"FIX INVALID PRODUCT ENTRY"))</f>
        <v/>
      </c>
    </row>
    <row r="60" customFormat="false" ht="22" hidden="false" customHeight="true" outlineLevel="0" collapsed="false">
      <c r="A60" s="27"/>
      <c r="B60" s="28"/>
      <c r="C60" s="28"/>
      <c r="D60" s="28"/>
      <c r="E60" s="28"/>
      <c r="F60" s="19"/>
      <c r="G60" s="19"/>
      <c r="H60" s="19"/>
      <c r="I60" s="29"/>
      <c r="J60" s="19"/>
      <c r="K60" s="34" t="str">
        <f aca="false">IF(R60&lt;&gt;"READY","",IFERROR(ROUND((ROUND(SUMIFS('Market Days'!$C$5:$C$54,'Market Days'!$A$5:$A$54,A60,'Market Days'!$B$5:$B$54,B60,'Market Days'!$I$5:$I$54,"READY"),2)+ROUND(SUMIFS('Market Days'!$D$5:$D$54,'Market Days'!$A$5:$A$54,A60,'Market Days'!$B$5:$B$54,B60,'Market Days'!$I$5:$I$54,"READY"),2))/COUNTIFS($A$5:$A$104,A60,$B$5:$B$104,B60,$R$5:$R$104,"READY"),2),""))</f>
        <v/>
      </c>
      <c r="L60" s="34" t="str">
        <f aca="false">IF(R60&lt;&gt;"READY","",IFERROR(ROUND(ROUND(G60,2)+ROUND(H60,2)+ROUND(I60*ROUND(J60,2),2)+K60,2),""))</f>
        <v/>
      </c>
      <c r="M60" s="34" t="str">
        <f aca="false">IF(R60&lt;&gt;"READY","",IFERROR(ROUND(ROUND(F60,2)-L60,2),""))</f>
        <v/>
      </c>
      <c r="N60" s="35" t="str">
        <f aca="false">IF(R60&lt;&gt;"READY","",IFERROR(IF(ROUND(F60,2)=0,"",M60/ROUND(F60,2)),""))</f>
        <v/>
      </c>
      <c r="O60" s="35" t="str">
        <f aca="false">IF(R60&lt;&gt;"READY","",IFERROR(E60/D60,""))</f>
        <v/>
      </c>
      <c r="P60" s="34" t="str">
        <f aca="false">IF(R60&lt;&gt;"READY","",IFERROR(IF(I60=0,"",M60/I60),""))</f>
        <v/>
      </c>
      <c r="Q60" s="36" t="str">
        <f aca="false">IF(COUNTA(A60:J60)=0,"",IF(OR(R60&lt;&gt;"READY",COUNTIF(Targets!$D$5:$D$7,"READY")&lt;&gt;3),"NEEDS REVIEW",IFERROR(IF(AND(N60&lt;&gt;"",P60&lt;&gt;"",O60&lt;&gt;"",ROUND(N60,3)&gt;=ROUND(Targets!$B$5,3),ROUND(P60,2)&gt;=ROUND(Targets!$B$6,2),ROUND(O60,3)&gt;=ROUND(Targets!$B$7,3)),"MEETS TARGETS","REVIEW"),"REVIEW")))</f>
        <v/>
      </c>
      <c r="R60" s="17" t="str">
        <f aca="false">IF(COUNTA(A60:J60)=0,"",IFERROR(IF(A60="","ENTER MARKET DATE",IF(NOT(ISNUMBER(A60)),"ENTER A VALID DATE",IF(B60="","ENTER MARKET NAME",IF(C60="","ENTER PRODUCT BATCH",IF(COUNTIFS($A$5:$A$104,A60,$B$5:$B$104,B60,$C$5:$C$104,C60)&gt;1,"REMOVE DUPLICATE PRODUCT ROW",IF(OR(NOT(ISNUMBER(D60)),D60&lt;=0,D60&lt;&gt;INT(D60)),"ENTER UNITS BROUGHT AS A POSITIVE WHOLE NUMBER",IF(OR(NOT(ISNUMBER(E60)),E60&lt;0,E60&lt;&gt;INT(E60),E60&gt;D60),"CHECK WHOLE UNITS SOLD",IF(OR(NOT(ISNUMBER(F60)),F60&lt;0),"ENTER SALES AS 0 OR MORE",IF(OR(NOT(ISNUMBER(G60)),G60&lt;0),"ENTER INGREDIENT COST AS 0 OR MORE",IF(OR(NOT(ISNUMBER(H60)),H60&lt;0),"ENTER PACKAGING COST AS 0 OR MORE",IF(OR(NOT(ISNUMBER(I60)),I60&lt;0),"ENTER PRODUCT WORK HOURS AS 0 OR MORE",IF(OR(NOT(ISNUMBER(J60)),J60&lt;0),"ENTER TIME VALUE AS 0 OR MORE",IF(COUNTIFS('Market Days'!$A$5:$A$54,A60,'Market Days'!$B$5:$B$54,B60,'Market Days'!$I$5:$I$54,"READY")&lt;&gt;1,"FIX OR ADD MATCHING MARKET DAY","READY"))))))))))))),"FIX INVALID PRODUCT ENTRY"))</f>
        <v/>
      </c>
    </row>
    <row r="61" customFormat="false" ht="22" hidden="false" customHeight="true" outlineLevel="0" collapsed="false">
      <c r="A61" s="27"/>
      <c r="B61" s="28"/>
      <c r="C61" s="28"/>
      <c r="D61" s="28"/>
      <c r="E61" s="28"/>
      <c r="F61" s="19"/>
      <c r="G61" s="19"/>
      <c r="H61" s="19"/>
      <c r="I61" s="29"/>
      <c r="J61" s="19"/>
      <c r="K61" s="34" t="str">
        <f aca="false">IF(R61&lt;&gt;"READY","",IFERROR(ROUND((ROUND(SUMIFS('Market Days'!$C$5:$C$54,'Market Days'!$A$5:$A$54,A61,'Market Days'!$B$5:$B$54,B61,'Market Days'!$I$5:$I$54,"READY"),2)+ROUND(SUMIFS('Market Days'!$D$5:$D$54,'Market Days'!$A$5:$A$54,A61,'Market Days'!$B$5:$B$54,B61,'Market Days'!$I$5:$I$54,"READY"),2))/COUNTIFS($A$5:$A$104,A61,$B$5:$B$104,B61,$R$5:$R$104,"READY"),2),""))</f>
        <v/>
      </c>
      <c r="L61" s="34" t="str">
        <f aca="false">IF(R61&lt;&gt;"READY","",IFERROR(ROUND(ROUND(G61,2)+ROUND(H61,2)+ROUND(I61*ROUND(J61,2),2)+K61,2),""))</f>
        <v/>
      </c>
      <c r="M61" s="34" t="str">
        <f aca="false">IF(R61&lt;&gt;"READY","",IFERROR(ROUND(ROUND(F61,2)-L61,2),""))</f>
        <v/>
      </c>
      <c r="N61" s="35" t="str">
        <f aca="false">IF(R61&lt;&gt;"READY","",IFERROR(IF(ROUND(F61,2)=0,"",M61/ROUND(F61,2)),""))</f>
        <v/>
      </c>
      <c r="O61" s="35" t="str">
        <f aca="false">IF(R61&lt;&gt;"READY","",IFERROR(E61/D61,""))</f>
        <v/>
      </c>
      <c r="P61" s="34" t="str">
        <f aca="false">IF(R61&lt;&gt;"READY","",IFERROR(IF(I61=0,"",M61/I61),""))</f>
        <v/>
      </c>
      <c r="Q61" s="36" t="str">
        <f aca="false">IF(COUNTA(A61:J61)=0,"",IF(OR(R61&lt;&gt;"READY",COUNTIF(Targets!$D$5:$D$7,"READY")&lt;&gt;3),"NEEDS REVIEW",IFERROR(IF(AND(N61&lt;&gt;"",P61&lt;&gt;"",O61&lt;&gt;"",ROUND(N61,3)&gt;=ROUND(Targets!$B$5,3),ROUND(P61,2)&gt;=ROUND(Targets!$B$6,2),ROUND(O61,3)&gt;=ROUND(Targets!$B$7,3)),"MEETS TARGETS","REVIEW"),"REVIEW")))</f>
        <v/>
      </c>
      <c r="R61" s="17" t="str">
        <f aca="false">IF(COUNTA(A61:J61)=0,"",IFERROR(IF(A61="","ENTER MARKET DATE",IF(NOT(ISNUMBER(A61)),"ENTER A VALID DATE",IF(B61="","ENTER MARKET NAME",IF(C61="","ENTER PRODUCT BATCH",IF(COUNTIFS($A$5:$A$104,A61,$B$5:$B$104,B61,$C$5:$C$104,C61)&gt;1,"REMOVE DUPLICATE PRODUCT ROW",IF(OR(NOT(ISNUMBER(D61)),D61&lt;=0,D61&lt;&gt;INT(D61)),"ENTER UNITS BROUGHT AS A POSITIVE WHOLE NUMBER",IF(OR(NOT(ISNUMBER(E61)),E61&lt;0,E61&lt;&gt;INT(E61),E61&gt;D61),"CHECK WHOLE UNITS SOLD",IF(OR(NOT(ISNUMBER(F61)),F61&lt;0),"ENTER SALES AS 0 OR MORE",IF(OR(NOT(ISNUMBER(G61)),G61&lt;0),"ENTER INGREDIENT COST AS 0 OR MORE",IF(OR(NOT(ISNUMBER(H61)),H61&lt;0),"ENTER PACKAGING COST AS 0 OR MORE",IF(OR(NOT(ISNUMBER(I61)),I61&lt;0),"ENTER PRODUCT WORK HOURS AS 0 OR MORE",IF(OR(NOT(ISNUMBER(J61)),J61&lt;0),"ENTER TIME VALUE AS 0 OR MORE",IF(COUNTIFS('Market Days'!$A$5:$A$54,A61,'Market Days'!$B$5:$B$54,B61,'Market Days'!$I$5:$I$54,"READY")&lt;&gt;1,"FIX OR ADD MATCHING MARKET DAY","READY"))))))))))))),"FIX INVALID PRODUCT ENTRY"))</f>
        <v/>
      </c>
    </row>
    <row r="62" customFormat="false" ht="22" hidden="false" customHeight="true" outlineLevel="0" collapsed="false">
      <c r="A62" s="27"/>
      <c r="B62" s="28"/>
      <c r="C62" s="28"/>
      <c r="D62" s="28"/>
      <c r="E62" s="28"/>
      <c r="F62" s="19"/>
      <c r="G62" s="19"/>
      <c r="H62" s="19"/>
      <c r="I62" s="29"/>
      <c r="J62" s="19"/>
      <c r="K62" s="34" t="str">
        <f aca="false">IF(R62&lt;&gt;"READY","",IFERROR(ROUND((ROUND(SUMIFS('Market Days'!$C$5:$C$54,'Market Days'!$A$5:$A$54,A62,'Market Days'!$B$5:$B$54,B62,'Market Days'!$I$5:$I$54,"READY"),2)+ROUND(SUMIFS('Market Days'!$D$5:$D$54,'Market Days'!$A$5:$A$54,A62,'Market Days'!$B$5:$B$54,B62,'Market Days'!$I$5:$I$54,"READY"),2))/COUNTIFS($A$5:$A$104,A62,$B$5:$B$104,B62,$R$5:$R$104,"READY"),2),""))</f>
        <v/>
      </c>
      <c r="L62" s="34" t="str">
        <f aca="false">IF(R62&lt;&gt;"READY","",IFERROR(ROUND(ROUND(G62,2)+ROUND(H62,2)+ROUND(I62*ROUND(J62,2),2)+K62,2),""))</f>
        <v/>
      </c>
      <c r="M62" s="34" t="str">
        <f aca="false">IF(R62&lt;&gt;"READY","",IFERROR(ROUND(ROUND(F62,2)-L62,2),""))</f>
        <v/>
      </c>
      <c r="N62" s="35" t="str">
        <f aca="false">IF(R62&lt;&gt;"READY","",IFERROR(IF(ROUND(F62,2)=0,"",M62/ROUND(F62,2)),""))</f>
        <v/>
      </c>
      <c r="O62" s="35" t="str">
        <f aca="false">IF(R62&lt;&gt;"READY","",IFERROR(E62/D62,""))</f>
        <v/>
      </c>
      <c r="P62" s="34" t="str">
        <f aca="false">IF(R62&lt;&gt;"READY","",IFERROR(IF(I62=0,"",M62/I62),""))</f>
        <v/>
      </c>
      <c r="Q62" s="36" t="str">
        <f aca="false">IF(COUNTA(A62:J62)=0,"",IF(OR(R62&lt;&gt;"READY",COUNTIF(Targets!$D$5:$D$7,"READY")&lt;&gt;3),"NEEDS REVIEW",IFERROR(IF(AND(N62&lt;&gt;"",P62&lt;&gt;"",O62&lt;&gt;"",ROUND(N62,3)&gt;=ROUND(Targets!$B$5,3),ROUND(P62,2)&gt;=ROUND(Targets!$B$6,2),ROUND(O62,3)&gt;=ROUND(Targets!$B$7,3)),"MEETS TARGETS","REVIEW"),"REVIEW")))</f>
        <v/>
      </c>
      <c r="R62" s="17" t="str">
        <f aca="false">IF(COUNTA(A62:J62)=0,"",IFERROR(IF(A62="","ENTER MARKET DATE",IF(NOT(ISNUMBER(A62)),"ENTER A VALID DATE",IF(B62="","ENTER MARKET NAME",IF(C62="","ENTER PRODUCT BATCH",IF(COUNTIFS($A$5:$A$104,A62,$B$5:$B$104,B62,$C$5:$C$104,C62)&gt;1,"REMOVE DUPLICATE PRODUCT ROW",IF(OR(NOT(ISNUMBER(D62)),D62&lt;=0,D62&lt;&gt;INT(D62)),"ENTER UNITS BROUGHT AS A POSITIVE WHOLE NUMBER",IF(OR(NOT(ISNUMBER(E62)),E62&lt;0,E62&lt;&gt;INT(E62),E62&gt;D62),"CHECK WHOLE UNITS SOLD",IF(OR(NOT(ISNUMBER(F62)),F62&lt;0),"ENTER SALES AS 0 OR MORE",IF(OR(NOT(ISNUMBER(G62)),G62&lt;0),"ENTER INGREDIENT COST AS 0 OR MORE",IF(OR(NOT(ISNUMBER(H62)),H62&lt;0),"ENTER PACKAGING COST AS 0 OR MORE",IF(OR(NOT(ISNUMBER(I62)),I62&lt;0),"ENTER PRODUCT WORK HOURS AS 0 OR MORE",IF(OR(NOT(ISNUMBER(J62)),J62&lt;0),"ENTER TIME VALUE AS 0 OR MORE",IF(COUNTIFS('Market Days'!$A$5:$A$54,A62,'Market Days'!$B$5:$B$54,B62,'Market Days'!$I$5:$I$54,"READY")&lt;&gt;1,"FIX OR ADD MATCHING MARKET DAY","READY"))))))))))))),"FIX INVALID PRODUCT ENTRY"))</f>
        <v/>
      </c>
    </row>
    <row r="63" customFormat="false" ht="22" hidden="false" customHeight="true" outlineLevel="0" collapsed="false">
      <c r="A63" s="27"/>
      <c r="B63" s="28"/>
      <c r="C63" s="28"/>
      <c r="D63" s="28"/>
      <c r="E63" s="28"/>
      <c r="F63" s="19"/>
      <c r="G63" s="19"/>
      <c r="H63" s="19"/>
      <c r="I63" s="29"/>
      <c r="J63" s="19"/>
      <c r="K63" s="34" t="str">
        <f aca="false">IF(R63&lt;&gt;"READY","",IFERROR(ROUND((ROUND(SUMIFS('Market Days'!$C$5:$C$54,'Market Days'!$A$5:$A$54,A63,'Market Days'!$B$5:$B$54,B63,'Market Days'!$I$5:$I$54,"READY"),2)+ROUND(SUMIFS('Market Days'!$D$5:$D$54,'Market Days'!$A$5:$A$54,A63,'Market Days'!$B$5:$B$54,B63,'Market Days'!$I$5:$I$54,"READY"),2))/COUNTIFS($A$5:$A$104,A63,$B$5:$B$104,B63,$R$5:$R$104,"READY"),2),""))</f>
        <v/>
      </c>
      <c r="L63" s="34" t="str">
        <f aca="false">IF(R63&lt;&gt;"READY","",IFERROR(ROUND(ROUND(G63,2)+ROUND(H63,2)+ROUND(I63*ROUND(J63,2),2)+K63,2),""))</f>
        <v/>
      </c>
      <c r="M63" s="34" t="str">
        <f aca="false">IF(R63&lt;&gt;"READY","",IFERROR(ROUND(ROUND(F63,2)-L63,2),""))</f>
        <v/>
      </c>
      <c r="N63" s="35" t="str">
        <f aca="false">IF(R63&lt;&gt;"READY","",IFERROR(IF(ROUND(F63,2)=0,"",M63/ROUND(F63,2)),""))</f>
        <v/>
      </c>
      <c r="O63" s="35" t="str">
        <f aca="false">IF(R63&lt;&gt;"READY","",IFERROR(E63/D63,""))</f>
        <v/>
      </c>
      <c r="P63" s="34" t="str">
        <f aca="false">IF(R63&lt;&gt;"READY","",IFERROR(IF(I63=0,"",M63/I63),""))</f>
        <v/>
      </c>
      <c r="Q63" s="36" t="str">
        <f aca="false">IF(COUNTA(A63:J63)=0,"",IF(OR(R63&lt;&gt;"READY",COUNTIF(Targets!$D$5:$D$7,"READY")&lt;&gt;3),"NEEDS REVIEW",IFERROR(IF(AND(N63&lt;&gt;"",P63&lt;&gt;"",O63&lt;&gt;"",ROUND(N63,3)&gt;=ROUND(Targets!$B$5,3),ROUND(P63,2)&gt;=ROUND(Targets!$B$6,2),ROUND(O63,3)&gt;=ROUND(Targets!$B$7,3)),"MEETS TARGETS","REVIEW"),"REVIEW")))</f>
        <v/>
      </c>
      <c r="R63" s="17" t="str">
        <f aca="false">IF(COUNTA(A63:J63)=0,"",IFERROR(IF(A63="","ENTER MARKET DATE",IF(NOT(ISNUMBER(A63)),"ENTER A VALID DATE",IF(B63="","ENTER MARKET NAME",IF(C63="","ENTER PRODUCT BATCH",IF(COUNTIFS($A$5:$A$104,A63,$B$5:$B$104,B63,$C$5:$C$104,C63)&gt;1,"REMOVE DUPLICATE PRODUCT ROW",IF(OR(NOT(ISNUMBER(D63)),D63&lt;=0,D63&lt;&gt;INT(D63)),"ENTER UNITS BROUGHT AS A POSITIVE WHOLE NUMBER",IF(OR(NOT(ISNUMBER(E63)),E63&lt;0,E63&lt;&gt;INT(E63),E63&gt;D63),"CHECK WHOLE UNITS SOLD",IF(OR(NOT(ISNUMBER(F63)),F63&lt;0),"ENTER SALES AS 0 OR MORE",IF(OR(NOT(ISNUMBER(G63)),G63&lt;0),"ENTER INGREDIENT COST AS 0 OR MORE",IF(OR(NOT(ISNUMBER(H63)),H63&lt;0),"ENTER PACKAGING COST AS 0 OR MORE",IF(OR(NOT(ISNUMBER(I63)),I63&lt;0),"ENTER PRODUCT WORK HOURS AS 0 OR MORE",IF(OR(NOT(ISNUMBER(J63)),J63&lt;0),"ENTER TIME VALUE AS 0 OR MORE",IF(COUNTIFS('Market Days'!$A$5:$A$54,A63,'Market Days'!$B$5:$B$54,B63,'Market Days'!$I$5:$I$54,"READY")&lt;&gt;1,"FIX OR ADD MATCHING MARKET DAY","READY"))))))))))))),"FIX INVALID PRODUCT ENTRY"))</f>
        <v/>
      </c>
    </row>
    <row r="64" customFormat="false" ht="22" hidden="false" customHeight="true" outlineLevel="0" collapsed="false">
      <c r="A64" s="27"/>
      <c r="B64" s="28"/>
      <c r="C64" s="28"/>
      <c r="D64" s="28"/>
      <c r="E64" s="28"/>
      <c r="F64" s="19"/>
      <c r="G64" s="19"/>
      <c r="H64" s="19"/>
      <c r="I64" s="29"/>
      <c r="J64" s="19"/>
      <c r="K64" s="34" t="str">
        <f aca="false">IF(R64&lt;&gt;"READY","",IFERROR(ROUND((ROUND(SUMIFS('Market Days'!$C$5:$C$54,'Market Days'!$A$5:$A$54,A64,'Market Days'!$B$5:$B$54,B64,'Market Days'!$I$5:$I$54,"READY"),2)+ROUND(SUMIFS('Market Days'!$D$5:$D$54,'Market Days'!$A$5:$A$54,A64,'Market Days'!$B$5:$B$54,B64,'Market Days'!$I$5:$I$54,"READY"),2))/COUNTIFS($A$5:$A$104,A64,$B$5:$B$104,B64,$R$5:$R$104,"READY"),2),""))</f>
        <v/>
      </c>
      <c r="L64" s="34" t="str">
        <f aca="false">IF(R64&lt;&gt;"READY","",IFERROR(ROUND(ROUND(G64,2)+ROUND(H64,2)+ROUND(I64*ROUND(J64,2),2)+K64,2),""))</f>
        <v/>
      </c>
      <c r="M64" s="34" t="str">
        <f aca="false">IF(R64&lt;&gt;"READY","",IFERROR(ROUND(ROUND(F64,2)-L64,2),""))</f>
        <v/>
      </c>
      <c r="N64" s="35" t="str">
        <f aca="false">IF(R64&lt;&gt;"READY","",IFERROR(IF(ROUND(F64,2)=0,"",M64/ROUND(F64,2)),""))</f>
        <v/>
      </c>
      <c r="O64" s="35" t="str">
        <f aca="false">IF(R64&lt;&gt;"READY","",IFERROR(E64/D64,""))</f>
        <v/>
      </c>
      <c r="P64" s="34" t="str">
        <f aca="false">IF(R64&lt;&gt;"READY","",IFERROR(IF(I64=0,"",M64/I64),""))</f>
        <v/>
      </c>
      <c r="Q64" s="36" t="str">
        <f aca="false">IF(COUNTA(A64:J64)=0,"",IF(OR(R64&lt;&gt;"READY",COUNTIF(Targets!$D$5:$D$7,"READY")&lt;&gt;3),"NEEDS REVIEW",IFERROR(IF(AND(N64&lt;&gt;"",P64&lt;&gt;"",O64&lt;&gt;"",ROUND(N64,3)&gt;=ROUND(Targets!$B$5,3),ROUND(P64,2)&gt;=ROUND(Targets!$B$6,2),ROUND(O64,3)&gt;=ROUND(Targets!$B$7,3)),"MEETS TARGETS","REVIEW"),"REVIEW")))</f>
        <v/>
      </c>
      <c r="R64" s="17" t="str">
        <f aca="false">IF(COUNTA(A64:J64)=0,"",IFERROR(IF(A64="","ENTER MARKET DATE",IF(NOT(ISNUMBER(A64)),"ENTER A VALID DATE",IF(B64="","ENTER MARKET NAME",IF(C64="","ENTER PRODUCT BATCH",IF(COUNTIFS($A$5:$A$104,A64,$B$5:$B$104,B64,$C$5:$C$104,C64)&gt;1,"REMOVE DUPLICATE PRODUCT ROW",IF(OR(NOT(ISNUMBER(D64)),D64&lt;=0,D64&lt;&gt;INT(D64)),"ENTER UNITS BROUGHT AS A POSITIVE WHOLE NUMBER",IF(OR(NOT(ISNUMBER(E64)),E64&lt;0,E64&lt;&gt;INT(E64),E64&gt;D64),"CHECK WHOLE UNITS SOLD",IF(OR(NOT(ISNUMBER(F64)),F64&lt;0),"ENTER SALES AS 0 OR MORE",IF(OR(NOT(ISNUMBER(G64)),G64&lt;0),"ENTER INGREDIENT COST AS 0 OR MORE",IF(OR(NOT(ISNUMBER(H64)),H64&lt;0),"ENTER PACKAGING COST AS 0 OR MORE",IF(OR(NOT(ISNUMBER(I64)),I64&lt;0),"ENTER PRODUCT WORK HOURS AS 0 OR MORE",IF(OR(NOT(ISNUMBER(J64)),J64&lt;0),"ENTER TIME VALUE AS 0 OR MORE",IF(COUNTIFS('Market Days'!$A$5:$A$54,A64,'Market Days'!$B$5:$B$54,B64,'Market Days'!$I$5:$I$54,"READY")&lt;&gt;1,"FIX OR ADD MATCHING MARKET DAY","READY"))))))))))))),"FIX INVALID PRODUCT ENTRY"))</f>
        <v/>
      </c>
    </row>
    <row r="65" customFormat="false" ht="22" hidden="false" customHeight="true" outlineLevel="0" collapsed="false">
      <c r="A65" s="27"/>
      <c r="B65" s="28"/>
      <c r="C65" s="28"/>
      <c r="D65" s="28"/>
      <c r="E65" s="28"/>
      <c r="F65" s="19"/>
      <c r="G65" s="19"/>
      <c r="H65" s="19"/>
      <c r="I65" s="29"/>
      <c r="J65" s="19"/>
      <c r="K65" s="34" t="str">
        <f aca="false">IF(R65&lt;&gt;"READY","",IFERROR(ROUND((ROUND(SUMIFS('Market Days'!$C$5:$C$54,'Market Days'!$A$5:$A$54,A65,'Market Days'!$B$5:$B$54,B65,'Market Days'!$I$5:$I$54,"READY"),2)+ROUND(SUMIFS('Market Days'!$D$5:$D$54,'Market Days'!$A$5:$A$54,A65,'Market Days'!$B$5:$B$54,B65,'Market Days'!$I$5:$I$54,"READY"),2))/COUNTIFS($A$5:$A$104,A65,$B$5:$B$104,B65,$R$5:$R$104,"READY"),2),""))</f>
        <v/>
      </c>
      <c r="L65" s="34" t="str">
        <f aca="false">IF(R65&lt;&gt;"READY","",IFERROR(ROUND(ROUND(G65,2)+ROUND(H65,2)+ROUND(I65*ROUND(J65,2),2)+K65,2),""))</f>
        <v/>
      </c>
      <c r="M65" s="34" t="str">
        <f aca="false">IF(R65&lt;&gt;"READY","",IFERROR(ROUND(ROUND(F65,2)-L65,2),""))</f>
        <v/>
      </c>
      <c r="N65" s="35" t="str">
        <f aca="false">IF(R65&lt;&gt;"READY","",IFERROR(IF(ROUND(F65,2)=0,"",M65/ROUND(F65,2)),""))</f>
        <v/>
      </c>
      <c r="O65" s="35" t="str">
        <f aca="false">IF(R65&lt;&gt;"READY","",IFERROR(E65/D65,""))</f>
        <v/>
      </c>
      <c r="P65" s="34" t="str">
        <f aca="false">IF(R65&lt;&gt;"READY","",IFERROR(IF(I65=0,"",M65/I65),""))</f>
        <v/>
      </c>
      <c r="Q65" s="36" t="str">
        <f aca="false">IF(COUNTA(A65:J65)=0,"",IF(OR(R65&lt;&gt;"READY",COUNTIF(Targets!$D$5:$D$7,"READY")&lt;&gt;3),"NEEDS REVIEW",IFERROR(IF(AND(N65&lt;&gt;"",P65&lt;&gt;"",O65&lt;&gt;"",ROUND(N65,3)&gt;=ROUND(Targets!$B$5,3),ROUND(P65,2)&gt;=ROUND(Targets!$B$6,2),ROUND(O65,3)&gt;=ROUND(Targets!$B$7,3)),"MEETS TARGETS","REVIEW"),"REVIEW")))</f>
        <v/>
      </c>
      <c r="R65" s="17" t="str">
        <f aca="false">IF(COUNTA(A65:J65)=0,"",IFERROR(IF(A65="","ENTER MARKET DATE",IF(NOT(ISNUMBER(A65)),"ENTER A VALID DATE",IF(B65="","ENTER MARKET NAME",IF(C65="","ENTER PRODUCT BATCH",IF(COUNTIFS($A$5:$A$104,A65,$B$5:$B$104,B65,$C$5:$C$104,C65)&gt;1,"REMOVE DUPLICATE PRODUCT ROW",IF(OR(NOT(ISNUMBER(D65)),D65&lt;=0,D65&lt;&gt;INT(D65)),"ENTER UNITS BROUGHT AS A POSITIVE WHOLE NUMBER",IF(OR(NOT(ISNUMBER(E65)),E65&lt;0,E65&lt;&gt;INT(E65),E65&gt;D65),"CHECK WHOLE UNITS SOLD",IF(OR(NOT(ISNUMBER(F65)),F65&lt;0),"ENTER SALES AS 0 OR MORE",IF(OR(NOT(ISNUMBER(G65)),G65&lt;0),"ENTER INGREDIENT COST AS 0 OR MORE",IF(OR(NOT(ISNUMBER(H65)),H65&lt;0),"ENTER PACKAGING COST AS 0 OR MORE",IF(OR(NOT(ISNUMBER(I65)),I65&lt;0),"ENTER PRODUCT WORK HOURS AS 0 OR MORE",IF(OR(NOT(ISNUMBER(J65)),J65&lt;0),"ENTER TIME VALUE AS 0 OR MORE",IF(COUNTIFS('Market Days'!$A$5:$A$54,A65,'Market Days'!$B$5:$B$54,B65,'Market Days'!$I$5:$I$54,"READY")&lt;&gt;1,"FIX OR ADD MATCHING MARKET DAY","READY"))))))))))))),"FIX INVALID PRODUCT ENTRY"))</f>
        <v/>
      </c>
    </row>
    <row r="66" customFormat="false" ht="22" hidden="false" customHeight="true" outlineLevel="0" collapsed="false">
      <c r="A66" s="27"/>
      <c r="B66" s="28"/>
      <c r="C66" s="28"/>
      <c r="D66" s="28"/>
      <c r="E66" s="28"/>
      <c r="F66" s="19"/>
      <c r="G66" s="19"/>
      <c r="H66" s="19"/>
      <c r="I66" s="29"/>
      <c r="J66" s="19"/>
      <c r="K66" s="34" t="str">
        <f aca="false">IF(R66&lt;&gt;"READY","",IFERROR(ROUND((ROUND(SUMIFS('Market Days'!$C$5:$C$54,'Market Days'!$A$5:$A$54,A66,'Market Days'!$B$5:$B$54,B66,'Market Days'!$I$5:$I$54,"READY"),2)+ROUND(SUMIFS('Market Days'!$D$5:$D$54,'Market Days'!$A$5:$A$54,A66,'Market Days'!$B$5:$B$54,B66,'Market Days'!$I$5:$I$54,"READY"),2))/COUNTIFS($A$5:$A$104,A66,$B$5:$B$104,B66,$R$5:$R$104,"READY"),2),""))</f>
        <v/>
      </c>
      <c r="L66" s="34" t="str">
        <f aca="false">IF(R66&lt;&gt;"READY","",IFERROR(ROUND(ROUND(G66,2)+ROUND(H66,2)+ROUND(I66*ROUND(J66,2),2)+K66,2),""))</f>
        <v/>
      </c>
      <c r="M66" s="34" t="str">
        <f aca="false">IF(R66&lt;&gt;"READY","",IFERROR(ROUND(ROUND(F66,2)-L66,2),""))</f>
        <v/>
      </c>
      <c r="N66" s="35" t="str">
        <f aca="false">IF(R66&lt;&gt;"READY","",IFERROR(IF(ROUND(F66,2)=0,"",M66/ROUND(F66,2)),""))</f>
        <v/>
      </c>
      <c r="O66" s="35" t="str">
        <f aca="false">IF(R66&lt;&gt;"READY","",IFERROR(E66/D66,""))</f>
        <v/>
      </c>
      <c r="P66" s="34" t="str">
        <f aca="false">IF(R66&lt;&gt;"READY","",IFERROR(IF(I66=0,"",M66/I66),""))</f>
        <v/>
      </c>
      <c r="Q66" s="36" t="str">
        <f aca="false">IF(COUNTA(A66:J66)=0,"",IF(OR(R66&lt;&gt;"READY",COUNTIF(Targets!$D$5:$D$7,"READY")&lt;&gt;3),"NEEDS REVIEW",IFERROR(IF(AND(N66&lt;&gt;"",P66&lt;&gt;"",O66&lt;&gt;"",ROUND(N66,3)&gt;=ROUND(Targets!$B$5,3),ROUND(P66,2)&gt;=ROUND(Targets!$B$6,2),ROUND(O66,3)&gt;=ROUND(Targets!$B$7,3)),"MEETS TARGETS","REVIEW"),"REVIEW")))</f>
        <v/>
      </c>
      <c r="R66" s="17" t="str">
        <f aca="false">IF(COUNTA(A66:J66)=0,"",IFERROR(IF(A66="","ENTER MARKET DATE",IF(NOT(ISNUMBER(A66)),"ENTER A VALID DATE",IF(B66="","ENTER MARKET NAME",IF(C66="","ENTER PRODUCT BATCH",IF(COUNTIFS($A$5:$A$104,A66,$B$5:$B$104,B66,$C$5:$C$104,C66)&gt;1,"REMOVE DUPLICATE PRODUCT ROW",IF(OR(NOT(ISNUMBER(D66)),D66&lt;=0,D66&lt;&gt;INT(D66)),"ENTER UNITS BROUGHT AS A POSITIVE WHOLE NUMBER",IF(OR(NOT(ISNUMBER(E66)),E66&lt;0,E66&lt;&gt;INT(E66),E66&gt;D66),"CHECK WHOLE UNITS SOLD",IF(OR(NOT(ISNUMBER(F66)),F66&lt;0),"ENTER SALES AS 0 OR MORE",IF(OR(NOT(ISNUMBER(G66)),G66&lt;0),"ENTER INGREDIENT COST AS 0 OR MORE",IF(OR(NOT(ISNUMBER(H66)),H66&lt;0),"ENTER PACKAGING COST AS 0 OR MORE",IF(OR(NOT(ISNUMBER(I66)),I66&lt;0),"ENTER PRODUCT WORK HOURS AS 0 OR MORE",IF(OR(NOT(ISNUMBER(J66)),J66&lt;0),"ENTER TIME VALUE AS 0 OR MORE",IF(COUNTIFS('Market Days'!$A$5:$A$54,A66,'Market Days'!$B$5:$B$54,B66,'Market Days'!$I$5:$I$54,"READY")&lt;&gt;1,"FIX OR ADD MATCHING MARKET DAY","READY"))))))))))))),"FIX INVALID PRODUCT ENTRY"))</f>
        <v/>
      </c>
    </row>
    <row r="67" customFormat="false" ht="22" hidden="false" customHeight="true" outlineLevel="0" collapsed="false">
      <c r="A67" s="27"/>
      <c r="B67" s="28"/>
      <c r="C67" s="28"/>
      <c r="D67" s="28"/>
      <c r="E67" s="28"/>
      <c r="F67" s="19"/>
      <c r="G67" s="19"/>
      <c r="H67" s="19"/>
      <c r="I67" s="29"/>
      <c r="J67" s="19"/>
      <c r="K67" s="34" t="str">
        <f aca="false">IF(R67&lt;&gt;"READY","",IFERROR(ROUND((ROUND(SUMIFS('Market Days'!$C$5:$C$54,'Market Days'!$A$5:$A$54,A67,'Market Days'!$B$5:$B$54,B67,'Market Days'!$I$5:$I$54,"READY"),2)+ROUND(SUMIFS('Market Days'!$D$5:$D$54,'Market Days'!$A$5:$A$54,A67,'Market Days'!$B$5:$B$54,B67,'Market Days'!$I$5:$I$54,"READY"),2))/COUNTIFS($A$5:$A$104,A67,$B$5:$B$104,B67,$R$5:$R$104,"READY"),2),""))</f>
        <v/>
      </c>
      <c r="L67" s="34" t="str">
        <f aca="false">IF(R67&lt;&gt;"READY","",IFERROR(ROUND(ROUND(G67,2)+ROUND(H67,2)+ROUND(I67*ROUND(J67,2),2)+K67,2),""))</f>
        <v/>
      </c>
      <c r="M67" s="34" t="str">
        <f aca="false">IF(R67&lt;&gt;"READY","",IFERROR(ROUND(ROUND(F67,2)-L67,2),""))</f>
        <v/>
      </c>
      <c r="N67" s="35" t="str">
        <f aca="false">IF(R67&lt;&gt;"READY","",IFERROR(IF(ROUND(F67,2)=0,"",M67/ROUND(F67,2)),""))</f>
        <v/>
      </c>
      <c r="O67" s="35" t="str">
        <f aca="false">IF(R67&lt;&gt;"READY","",IFERROR(E67/D67,""))</f>
        <v/>
      </c>
      <c r="P67" s="34" t="str">
        <f aca="false">IF(R67&lt;&gt;"READY","",IFERROR(IF(I67=0,"",M67/I67),""))</f>
        <v/>
      </c>
      <c r="Q67" s="36" t="str">
        <f aca="false">IF(COUNTA(A67:J67)=0,"",IF(OR(R67&lt;&gt;"READY",COUNTIF(Targets!$D$5:$D$7,"READY")&lt;&gt;3),"NEEDS REVIEW",IFERROR(IF(AND(N67&lt;&gt;"",P67&lt;&gt;"",O67&lt;&gt;"",ROUND(N67,3)&gt;=ROUND(Targets!$B$5,3),ROUND(P67,2)&gt;=ROUND(Targets!$B$6,2),ROUND(O67,3)&gt;=ROUND(Targets!$B$7,3)),"MEETS TARGETS","REVIEW"),"REVIEW")))</f>
        <v/>
      </c>
      <c r="R67" s="17" t="str">
        <f aca="false">IF(COUNTA(A67:J67)=0,"",IFERROR(IF(A67="","ENTER MARKET DATE",IF(NOT(ISNUMBER(A67)),"ENTER A VALID DATE",IF(B67="","ENTER MARKET NAME",IF(C67="","ENTER PRODUCT BATCH",IF(COUNTIFS($A$5:$A$104,A67,$B$5:$B$104,B67,$C$5:$C$104,C67)&gt;1,"REMOVE DUPLICATE PRODUCT ROW",IF(OR(NOT(ISNUMBER(D67)),D67&lt;=0,D67&lt;&gt;INT(D67)),"ENTER UNITS BROUGHT AS A POSITIVE WHOLE NUMBER",IF(OR(NOT(ISNUMBER(E67)),E67&lt;0,E67&lt;&gt;INT(E67),E67&gt;D67),"CHECK WHOLE UNITS SOLD",IF(OR(NOT(ISNUMBER(F67)),F67&lt;0),"ENTER SALES AS 0 OR MORE",IF(OR(NOT(ISNUMBER(G67)),G67&lt;0),"ENTER INGREDIENT COST AS 0 OR MORE",IF(OR(NOT(ISNUMBER(H67)),H67&lt;0),"ENTER PACKAGING COST AS 0 OR MORE",IF(OR(NOT(ISNUMBER(I67)),I67&lt;0),"ENTER PRODUCT WORK HOURS AS 0 OR MORE",IF(OR(NOT(ISNUMBER(J67)),J67&lt;0),"ENTER TIME VALUE AS 0 OR MORE",IF(COUNTIFS('Market Days'!$A$5:$A$54,A67,'Market Days'!$B$5:$B$54,B67,'Market Days'!$I$5:$I$54,"READY")&lt;&gt;1,"FIX OR ADD MATCHING MARKET DAY","READY"))))))))))))),"FIX INVALID PRODUCT ENTRY"))</f>
        <v/>
      </c>
    </row>
    <row r="68" customFormat="false" ht="22" hidden="false" customHeight="true" outlineLevel="0" collapsed="false">
      <c r="A68" s="27"/>
      <c r="B68" s="28"/>
      <c r="C68" s="28"/>
      <c r="D68" s="28"/>
      <c r="E68" s="28"/>
      <c r="F68" s="19"/>
      <c r="G68" s="19"/>
      <c r="H68" s="19"/>
      <c r="I68" s="29"/>
      <c r="J68" s="19"/>
      <c r="K68" s="34" t="str">
        <f aca="false">IF(R68&lt;&gt;"READY","",IFERROR(ROUND((ROUND(SUMIFS('Market Days'!$C$5:$C$54,'Market Days'!$A$5:$A$54,A68,'Market Days'!$B$5:$B$54,B68,'Market Days'!$I$5:$I$54,"READY"),2)+ROUND(SUMIFS('Market Days'!$D$5:$D$54,'Market Days'!$A$5:$A$54,A68,'Market Days'!$B$5:$B$54,B68,'Market Days'!$I$5:$I$54,"READY"),2))/COUNTIFS($A$5:$A$104,A68,$B$5:$B$104,B68,$R$5:$R$104,"READY"),2),""))</f>
        <v/>
      </c>
      <c r="L68" s="34" t="str">
        <f aca="false">IF(R68&lt;&gt;"READY","",IFERROR(ROUND(ROUND(G68,2)+ROUND(H68,2)+ROUND(I68*ROUND(J68,2),2)+K68,2),""))</f>
        <v/>
      </c>
      <c r="M68" s="34" t="str">
        <f aca="false">IF(R68&lt;&gt;"READY","",IFERROR(ROUND(ROUND(F68,2)-L68,2),""))</f>
        <v/>
      </c>
      <c r="N68" s="35" t="str">
        <f aca="false">IF(R68&lt;&gt;"READY","",IFERROR(IF(ROUND(F68,2)=0,"",M68/ROUND(F68,2)),""))</f>
        <v/>
      </c>
      <c r="O68" s="35" t="str">
        <f aca="false">IF(R68&lt;&gt;"READY","",IFERROR(E68/D68,""))</f>
        <v/>
      </c>
      <c r="P68" s="34" t="str">
        <f aca="false">IF(R68&lt;&gt;"READY","",IFERROR(IF(I68=0,"",M68/I68),""))</f>
        <v/>
      </c>
      <c r="Q68" s="36" t="str">
        <f aca="false">IF(COUNTA(A68:J68)=0,"",IF(OR(R68&lt;&gt;"READY",COUNTIF(Targets!$D$5:$D$7,"READY")&lt;&gt;3),"NEEDS REVIEW",IFERROR(IF(AND(N68&lt;&gt;"",P68&lt;&gt;"",O68&lt;&gt;"",ROUND(N68,3)&gt;=ROUND(Targets!$B$5,3),ROUND(P68,2)&gt;=ROUND(Targets!$B$6,2),ROUND(O68,3)&gt;=ROUND(Targets!$B$7,3)),"MEETS TARGETS","REVIEW"),"REVIEW")))</f>
        <v/>
      </c>
      <c r="R68" s="17" t="str">
        <f aca="false">IF(COUNTA(A68:J68)=0,"",IFERROR(IF(A68="","ENTER MARKET DATE",IF(NOT(ISNUMBER(A68)),"ENTER A VALID DATE",IF(B68="","ENTER MARKET NAME",IF(C68="","ENTER PRODUCT BATCH",IF(COUNTIFS($A$5:$A$104,A68,$B$5:$B$104,B68,$C$5:$C$104,C68)&gt;1,"REMOVE DUPLICATE PRODUCT ROW",IF(OR(NOT(ISNUMBER(D68)),D68&lt;=0,D68&lt;&gt;INT(D68)),"ENTER UNITS BROUGHT AS A POSITIVE WHOLE NUMBER",IF(OR(NOT(ISNUMBER(E68)),E68&lt;0,E68&lt;&gt;INT(E68),E68&gt;D68),"CHECK WHOLE UNITS SOLD",IF(OR(NOT(ISNUMBER(F68)),F68&lt;0),"ENTER SALES AS 0 OR MORE",IF(OR(NOT(ISNUMBER(G68)),G68&lt;0),"ENTER INGREDIENT COST AS 0 OR MORE",IF(OR(NOT(ISNUMBER(H68)),H68&lt;0),"ENTER PACKAGING COST AS 0 OR MORE",IF(OR(NOT(ISNUMBER(I68)),I68&lt;0),"ENTER PRODUCT WORK HOURS AS 0 OR MORE",IF(OR(NOT(ISNUMBER(J68)),J68&lt;0),"ENTER TIME VALUE AS 0 OR MORE",IF(COUNTIFS('Market Days'!$A$5:$A$54,A68,'Market Days'!$B$5:$B$54,B68,'Market Days'!$I$5:$I$54,"READY")&lt;&gt;1,"FIX OR ADD MATCHING MARKET DAY","READY"))))))))))))),"FIX INVALID PRODUCT ENTRY"))</f>
        <v/>
      </c>
    </row>
    <row r="69" customFormat="false" ht="22" hidden="false" customHeight="true" outlineLevel="0" collapsed="false">
      <c r="A69" s="27"/>
      <c r="B69" s="28"/>
      <c r="C69" s="28"/>
      <c r="D69" s="28"/>
      <c r="E69" s="28"/>
      <c r="F69" s="19"/>
      <c r="G69" s="19"/>
      <c r="H69" s="19"/>
      <c r="I69" s="29"/>
      <c r="J69" s="19"/>
      <c r="K69" s="34" t="str">
        <f aca="false">IF(R69&lt;&gt;"READY","",IFERROR(ROUND((ROUND(SUMIFS('Market Days'!$C$5:$C$54,'Market Days'!$A$5:$A$54,A69,'Market Days'!$B$5:$B$54,B69,'Market Days'!$I$5:$I$54,"READY"),2)+ROUND(SUMIFS('Market Days'!$D$5:$D$54,'Market Days'!$A$5:$A$54,A69,'Market Days'!$B$5:$B$54,B69,'Market Days'!$I$5:$I$54,"READY"),2))/COUNTIFS($A$5:$A$104,A69,$B$5:$B$104,B69,$R$5:$R$104,"READY"),2),""))</f>
        <v/>
      </c>
      <c r="L69" s="34" t="str">
        <f aca="false">IF(R69&lt;&gt;"READY","",IFERROR(ROUND(ROUND(G69,2)+ROUND(H69,2)+ROUND(I69*ROUND(J69,2),2)+K69,2),""))</f>
        <v/>
      </c>
      <c r="M69" s="34" t="str">
        <f aca="false">IF(R69&lt;&gt;"READY","",IFERROR(ROUND(ROUND(F69,2)-L69,2),""))</f>
        <v/>
      </c>
      <c r="N69" s="35" t="str">
        <f aca="false">IF(R69&lt;&gt;"READY","",IFERROR(IF(ROUND(F69,2)=0,"",M69/ROUND(F69,2)),""))</f>
        <v/>
      </c>
      <c r="O69" s="35" t="str">
        <f aca="false">IF(R69&lt;&gt;"READY","",IFERROR(E69/D69,""))</f>
        <v/>
      </c>
      <c r="P69" s="34" t="str">
        <f aca="false">IF(R69&lt;&gt;"READY","",IFERROR(IF(I69=0,"",M69/I69),""))</f>
        <v/>
      </c>
      <c r="Q69" s="36" t="str">
        <f aca="false">IF(COUNTA(A69:J69)=0,"",IF(OR(R69&lt;&gt;"READY",COUNTIF(Targets!$D$5:$D$7,"READY")&lt;&gt;3),"NEEDS REVIEW",IFERROR(IF(AND(N69&lt;&gt;"",P69&lt;&gt;"",O69&lt;&gt;"",ROUND(N69,3)&gt;=ROUND(Targets!$B$5,3),ROUND(P69,2)&gt;=ROUND(Targets!$B$6,2),ROUND(O69,3)&gt;=ROUND(Targets!$B$7,3)),"MEETS TARGETS","REVIEW"),"REVIEW")))</f>
        <v/>
      </c>
      <c r="R69" s="17" t="str">
        <f aca="false">IF(COUNTA(A69:J69)=0,"",IFERROR(IF(A69="","ENTER MARKET DATE",IF(NOT(ISNUMBER(A69)),"ENTER A VALID DATE",IF(B69="","ENTER MARKET NAME",IF(C69="","ENTER PRODUCT BATCH",IF(COUNTIFS($A$5:$A$104,A69,$B$5:$B$104,B69,$C$5:$C$104,C69)&gt;1,"REMOVE DUPLICATE PRODUCT ROW",IF(OR(NOT(ISNUMBER(D69)),D69&lt;=0,D69&lt;&gt;INT(D69)),"ENTER UNITS BROUGHT AS A POSITIVE WHOLE NUMBER",IF(OR(NOT(ISNUMBER(E69)),E69&lt;0,E69&lt;&gt;INT(E69),E69&gt;D69),"CHECK WHOLE UNITS SOLD",IF(OR(NOT(ISNUMBER(F69)),F69&lt;0),"ENTER SALES AS 0 OR MORE",IF(OR(NOT(ISNUMBER(G69)),G69&lt;0),"ENTER INGREDIENT COST AS 0 OR MORE",IF(OR(NOT(ISNUMBER(H69)),H69&lt;0),"ENTER PACKAGING COST AS 0 OR MORE",IF(OR(NOT(ISNUMBER(I69)),I69&lt;0),"ENTER PRODUCT WORK HOURS AS 0 OR MORE",IF(OR(NOT(ISNUMBER(J69)),J69&lt;0),"ENTER TIME VALUE AS 0 OR MORE",IF(COUNTIFS('Market Days'!$A$5:$A$54,A69,'Market Days'!$B$5:$B$54,B69,'Market Days'!$I$5:$I$54,"READY")&lt;&gt;1,"FIX OR ADD MATCHING MARKET DAY","READY"))))))))))))),"FIX INVALID PRODUCT ENTRY"))</f>
        <v/>
      </c>
    </row>
    <row r="70" customFormat="false" ht="22" hidden="false" customHeight="true" outlineLevel="0" collapsed="false">
      <c r="A70" s="27"/>
      <c r="B70" s="28"/>
      <c r="C70" s="28"/>
      <c r="D70" s="28"/>
      <c r="E70" s="28"/>
      <c r="F70" s="19"/>
      <c r="G70" s="19"/>
      <c r="H70" s="19"/>
      <c r="I70" s="29"/>
      <c r="J70" s="19"/>
      <c r="K70" s="34" t="str">
        <f aca="false">IF(R70&lt;&gt;"READY","",IFERROR(ROUND((ROUND(SUMIFS('Market Days'!$C$5:$C$54,'Market Days'!$A$5:$A$54,A70,'Market Days'!$B$5:$B$54,B70,'Market Days'!$I$5:$I$54,"READY"),2)+ROUND(SUMIFS('Market Days'!$D$5:$D$54,'Market Days'!$A$5:$A$54,A70,'Market Days'!$B$5:$B$54,B70,'Market Days'!$I$5:$I$54,"READY"),2))/COUNTIFS($A$5:$A$104,A70,$B$5:$B$104,B70,$R$5:$R$104,"READY"),2),""))</f>
        <v/>
      </c>
      <c r="L70" s="34" t="str">
        <f aca="false">IF(R70&lt;&gt;"READY","",IFERROR(ROUND(ROUND(G70,2)+ROUND(H70,2)+ROUND(I70*ROUND(J70,2),2)+K70,2),""))</f>
        <v/>
      </c>
      <c r="M70" s="34" t="str">
        <f aca="false">IF(R70&lt;&gt;"READY","",IFERROR(ROUND(ROUND(F70,2)-L70,2),""))</f>
        <v/>
      </c>
      <c r="N70" s="35" t="str">
        <f aca="false">IF(R70&lt;&gt;"READY","",IFERROR(IF(ROUND(F70,2)=0,"",M70/ROUND(F70,2)),""))</f>
        <v/>
      </c>
      <c r="O70" s="35" t="str">
        <f aca="false">IF(R70&lt;&gt;"READY","",IFERROR(E70/D70,""))</f>
        <v/>
      </c>
      <c r="P70" s="34" t="str">
        <f aca="false">IF(R70&lt;&gt;"READY","",IFERROR(IF(I70=0,"",M70/I70),""))</f>
        <v/>
      </c>
      <c r="Q70" s="36" t="str">
        <f aca="false">IF(COUNTA(A70:J70)=0,"",IF(OR(R70&lt;&gt;"READY",COUNTIF(Targets!$D$5:$D$7,"READY")&lt;&gt;3),"NEEDS REVIEW",IFERROR(IF(AND(N70&lt;&gt;"",P70&lt;&gt;"",O70&lt;&gt;"",ROUND(N70,3)&gt;=ROUND(Targets!$B$5,3),ROUND(P70,2)&gt;=ROUND(Targets!$B$6,2),ROUND(O70,3)&gt;=ROUND(Targets!$B$7,3)),"MEETS TARGETS","REVIEW"),"REVIEW")))</f>
        <v/>
      </c>
      <c r="R70" s="17" t="str">
        <f aca="false">IF(COUNTA(A70:J70)=0,"",IFERROR(IF(A70="","ENTER MARKET DATE",IF(NOT(ISNUMBER(A70)),"ENTER A VALID DATE",IF(B70="","ENTER MARKET NAME",IF(C70="","ENTER PRODUCT BATCH",IF(COUNTIFS($A$5:$A$104,A70,$B$5:$B$104,B70,$C$5:$C$104,C70)&gt;1,"REMOVE DUPLICATE PRODUCT ROW",IF(OR(NOT(ISNUMBER(D70)),D70&lt;=0,D70&lt;&gt;INT(D70)),"ENTER UNITS BROUGHT AS A POSITIVE WHOLE NUMBER",IF(OR(NOT(ISNUMBER(E70)),E70&lt;0,E70&lt;&gt;INT(E70),E70&gt;D70),"CHECK WHOLE UNITS SOLD",IF(OR(NOT(ISNUMBER(F70)),F70&lt;0),"ENTER SALES AS 0 OR MORE",IF(OR(NOT(ISNUMBER(G70)),G70&lt;0),"ENTER INGREDIENT COST AS 0 OR MORE",IF(OR(NOT(ISNUMBER(H70)),H70&lt;0),"ENTER PACKAGING COST AS 0 OR MORE",IF(OR(NOT(ISNUMBER(I70)),I70&lt;0),"ENTER PRODUCT WORK HOURS AS 0 OR MORE",IF(OR(NOT(ISNUMBER(J70)),J70&lt;0),"ENTER TIME VALUE AS 0 OR MORE",IF(COUNTIFS('Market Days'!$A$5:$A$54,A70,'Market Days'!$B$5:$B$54,B70,'Market Days'!$I$5:$I$54,"READY")&lt;&gt;1,"FIX OR ADD MATCHING MARKET DAY","READY"))))))))))))),"FIX INVALID PRODUCT ENTRY"))</f>
        <v/>
      </c>
    </row>
    <row r="71" customFormat="false" ht="22" hidden="false" customHeight="true" outlineLevel="0" collapsed="false">
      <c r="A71" s="27"/>
      <c r="B71" s="28"/>
      <c r="C71" s="28"/>
      <c r="D71" s="28"/>
      <c r="E71" s="28"/>
      <c r="F71" s="19"/>
      <c r="G71" s="19"/>
      <c r="H71" s="19"/>
      <c r="I71" s="29"/>
      <c r="J71" s="19"/>
      <c r="K71" s="34" t="str">
        <f aca="false">IF(R71&lt;&gt;"READY","",IFERROR(ROUND((ROUND(SUMIFS('Market Days'!$C$5:$C$54,'Market Days'!$A$5:$A$54,A71,'Market Days'!$B$5:$B$54,B71,'Market Days'!$I$5:$I$54,"READY"),2)+ROUND(SUMIFS('Market Days'!$D$5:$D$54,'Market Days'!$A$5:$A$54,A71,'Market Days'!$B$5:$B$54,B71,'Market Days'!$I$5:$I$54,"READY"),2))/COUNTIFS($A$5:$A$104,A71,$B$5:$B$104,B71,$R$5:$R$104,"READY"),2),""))</f>
        <v/>
      </c>
      <c r="L71" s="34" t="str">
        <f aca="false">IF(R71&lt;&gt;"READY","",IFERROR(ROUND(ROUND(G71,2)+ROUND(H71,2)+ROUND(I71*ROUND(J71,2),2)+K71,2),""))</f>
        <v/>
      </c>
      <c r="M71" s="34" t="str">
        <f aca="false">IF(R71&lt;&gt;"READY","",IFERROR(ROUND(ROUND(F71,2)-L71,2),""))</f>
        <v/>
      </c>
      <c r="N71" s="35" t="str">
        <f aca="false">IF(R71&lt;&gt;"READY","",IFERROR(IF(ROUND(F71,2)=0,"",M71/ROUND(F71,2)),""))</f>
        <v/>
      </c>
      <c r="O71" s="35" t="str">
        <f aca="false">IF(R71&lt;&gt;"READY","",IFERROR(E71/D71,""))</f>
        <v/>
      </c>
      <c r="P71" s="34" t="str">
        <f aca="false">IF(R71&lt;&gt;"READY","",IFERROR(IF(I71=0,"",M71/I71),""))</f>
        <v/>
      </c>
      <c r="Q71" s="36" t="str">
        <f aca="false">IF(COUNTA(A71:J71)=0,"",IF(OR(R71&lt;&gt;"READY",COUNTIF(Targets!$D$5:$D$7,"READY")&lt;&gt;3),"NEEDS REVIEW",IFERROR(IF(AND(N71&lt;&gt;"",P71&lt;&gt;"",O71&lt;&gt;"",ROUND(N71,3)&gt;=ROUND(Targets!$B$5,3),ROUND(P71,2)&gt;=ROUND(Targets!$B$6,2),ROUND(O71,3)&gt;=ROUND(Targets!$B$7,3)),"MEETS TARGETS","REVIEW"),"REVIEW")))</f>
        <v/>
      </c>
      <c r="R71" s="17" t="str">
        <f aca="false">IF(COUNTA(A71:J71)=0,"",IFERROR(IF(A71="","ENTER MARKET DATE",IF(NOT(ISNUMBER(A71)),"ENTER A VALID DATE",IF(B71="","ENTER MARKET NAME",IF(C71="","ENTER PRODUCT BATCH",IF(COUNTIFS($A$5:$A$104,A71,$B$5:$B$104,B71,$C$5:$C$104,C71)&gt;1,"REMOVE DUPLICATE PRODUCT ROW",IF(OR(NOT(ISNUMBER(D71)),D71&lt;=0,D71&lt;&gt;INT(D71)),"ENTER UNITS BROUGHT AS A POSITIVE WHOLE NUMBER",IF(OR(NOT(ISNUMBER(E71)),E71&lt;0,E71&lt;&gt;INT(E71),E71&gt;D71),"CHECK WHOLE UNITS SOLD",IF(OR(NOT(ISNUMBER(F71)),F71&lt;0),"ENTER SALES AS 0 OR MORE",IF(OR(NOT(ISNUMBER(G71)),G71&lt;0),"ENTER INGREDIENT COST AS 0 OR MORE",IF(OR(NOT(ISNUMBER(H71)),H71&lt;0),"ENTER PACKAGING COST AS 0 OR MORE",IF(OR(NOT(ISNUMBER(I71)),I71&lt;0),"ENTER PRODUCT WORK HOURS AS 0 OR MORE",IF(OR(NOT(ISNUMBER(J71)),J71&lt;0),"ENTER TIME VALUE AS 0 OR MORE",IF(COUNTIFS('Market Days'!$A$5:$A$54,A71,'Market Days'!$B$5:$B$54,B71,'Market Days'!$I$5:$I$54,"READY")&lt;&gt;1,"FIX OR ADD MATCHING MARKET DAY","READY"))))))))))))),"FIX INVALID PRODUCT ENTRY"))</f>
        <v/>
      </c>
    </row>
    <row r="72" customFormat="false" ht="22" hidden="false" customHeight="true" outlineLevel="0" collapsed="false">
      <c r="A72" s="27"/>
      <c r="B72" s="28"/>
      <c r="C72" s="28"/>
      <c r="D72" s="28"/>
      <c r="E72" s="28"/>
      <c r="F72" s="19"/>
      <c r="G72" s="19"/>
      <c r="H72" s="19"/>
      <c r="I72" s="29"/>
      <c r="J72" s="19"/>
      <c r="K72" s="34" t="str">
        <f aca="false">IF(R72&lt;&gt;"READY","",IFERROR(ROUND((ROUND(SUMIFS('Market Days'!$C$5:$C$54,'Market Days'!$A$5:$A$54,A72,'Market Days'!$B$5:$B$54,B72,'Market Days'!$I$5:$I$54,"READY"),2)+ROUND(SUMIFS('Market Days'!$D$5:$D$54,'Market Days'!$A$5:$A$54,A72,'Market Days'!$B$5:$B$54,B72,'Market Days'!$I$5:$I$54,"READY"),2))/COUNTIFS($A$5:$A$104,A72,$B$5:$B$104,B72,$R$5:$R$104,"READY"),2),""))</f>
        <v/>
      </c>
      <c r="L72" s="34" t="str">
        <f aca="false">IF(R72&lt;&gt;"READY","",IFERROR(ROUND(ROUND(G72,2)+ROUND(H72,2)+ROUND(I72*ROUND(J72,2),2)+K72,2),""))</f>
        <v/>
      </c>
      <c r="M72" s="34" t="str">
        <f aca="false">IF(R72&lt;&gt;"READY","",IFERROR(ROUND(ROUND(F72,2)-L72,2),""))</f>
        <v/>
      </c>
      <c r="N72" s="35" t="str">
        <f aca="false">IF(R72&lt;&gt;"READY","",IFERROR(IF(ROUND(F72,2)=0,"",M72/ROUND(F72,2)),""))</f>
        <v/>
      </c>
      <c r="O72" s="35" t="str">
        <f aca="false">IF(R72&lt;&gt;"READY","",IFERROR(E72/D72,""))</f>
        <v/>
      </c>
      <c r="P72" s="34" t="str">
        <f aca="false">IF(R72&lt;&gt;"READY","",IFERROR(IF(I72=0,"",M72/I72),""))</f>
        <v/>
      </c>
      <c r="Q72" s="36" t="str">
        <f aca="false">IF(COUNTA(A72:J72)=0,"",IF(OR(R72&lt;&gt;"READY",COUNTIF(Targets!$D$5:$D$7,"READY")&lt;&gt;3),"NEEDS REVIEW",IFERROR(IF(AND(N72&lt;&gt;"",P72&lt;&gt;"",O72&lt;&gt;"",ROUND(N72,3)&gt;=ROUND(Targets!$B$5,3),ROUND(P72,2)&gt;=ROUND(Targets!$B$6,2),ROUND(O72,3)&gt;=ROUND(Targets!$B$7,3)),"MEETS TARGETS","REVIEW"),"REVIEW")))</f>
        <v/>
      </c>
      <c r="R72" s="17" t="str">
        <f aca="false">IF(COUNTA(A72:J72)=0,"",IFERROR(IF(A72="","ENTER MARKET DATE",IF(NOT(ISNUMBER(A72)),"ENTER A VALID DATE",IF(B72="","ENTER MARKET NAME",IF(C72="","ENTER PRODUCT BATCH",IF(COUNTIFS($A$5:$A$104,A72,$B$5:$B$104,B72,$C$5:$C$104,C72)&gt;1,"REMOVE DUPLICATE PRODUCT ROW",IF(OR(NOT(ISNUMBER(D72)),D72&lt;=0,D72&lt;&gt;INT(D72)),"ENTER UNITS BROUGHT AS A POSITIVE WHOLE NUMBER",IF(OR(NOT(ISNUMBER(E72)),E72&lt;0,E72&lt;&gt;INT(E72),E72&gt;D72),"CHECK WHOLE UNITS SOLD",IF(OR(NOT(ISNUMBER(F72)),F72&lt;0),"ENTER SALES AS 0 OR MORE",IF(OR(NOT(ISNUMBER(G72)),G72&lt;0),"ENTER INGREDIENT COST AS 0 OR MORE",IF(OR(NOT(ISNUMBER(H72)),H72&lt;0),"ENTER PACKAGING COST AS 0 OR MORE",IF(OR(NOT(ISNUMBER(I72)),I72&lt;0),"ENTER PRODUCT WORK HOURS AS 0 OR MORE",IF(OR(NOT(ISNUMBER(J72)),J72&lt;0),"ENTER TIME VALUE AS 0 OR MORE",IF(COUNTIFS('Market Days'!$A$5:$A$54,A72,'Market Days'!$B$5:$B$54,B72,'Market Days'!$I$5:$I$54,"READY")&lt;&gt;1,"FIX OR ADD MATCHING MARKET DAY","READY"))))))))))))),"FIX INVALID PRODUCT ENTRY"))</f>
        <v/>
      </c>
    </row>
    <row r="73" customFormat="false" ht="22" hidden="false" customHeight="true" outlineLevel="0" collapsed="false">
      <c r="A73" s="27"/>
      <c r="B73" s="28"/>
      <c r="C73" s="28"/>
      <c r="D73" s="28"/>
      <c r="E73" s="28"/>
      <c r="F73" s="19"/>
      <c r="G73" s="19"/>
      <c r="H73" s="19"/>
      <c r="I73" s="29"/>
      <c r="J73" s="19"/>
      <c r="K73" s="34" t="str">
        <f aca="false">IF(R73&lt;&gt;"READY","",IFERROR(ROUND((ROUND(SUMIFS('Market Days'!$C$5:$C$54,'Market Days'!$A$5:$A$54,A73,'Market Days'!$B$5:$B$54,B73,'Market Days'!$I$5:$I$54,"READY"),2)+ROUND(SUMIFS('Market Days'!$D$5:$D$54,'Market Days'!$A$5:$A$54,A73,'Market Days'!$B$5:$B$54,B73,'Market Days'!$I$5:$I$54,"READY"),2))/COUNTIFS($A$5:$A$104,A73,$B$5:$B$104,B73,$R$5:$R$104,"READY"),2),""))</f>
        <v/>
      </c>
      <c r="L73" s="34" t="str">
        <f aca="false">IF(R73&lt;&gt;"READY","",IFERROR(ROUND(ROUND(G73,2)+ROUND(H73,2)+ROUND(I73*ROUND(J73,2),2)+K73,2),""))</f>
        <v/>
      </c>
      <c r="M73" s="34" t="str">
        <f aca="false">IF(R73&lt;&gt;"READY","",IFERROR(ROUND(ROUND(F73,2)-L73,2),""))</f>
        <v/>
      </c>
      <c r="N73" s="35" t="str">
        <f aca="false">IF(R73&lt;&gt;"READY","",IFERROR(IF(ROUND(F73,2)=0,"",M73/ROUND(F73,2)),""))</f>
        <v/>
      </c>
      <c r="O73" s="35" t="str">
        <f aca="false">IF(R73&lt;&gt;"READY","",IFERROR(E73/D73,""))</f>
        <v/>
      </c>
      <c r="P73" s="34" t="str">
        <f aca="false">IF(R73&lt;&gt;"READY","",IFERROR(IF(I73=0,"",M73/I73),""))</f>
        <v/>
      </c>
      <c r="Q73" s="36" t="str">
        <f aca="false">IF(COUNTA(A73:J73)=0,"",IF(OR(R73&lt;&gt;"READY",COUNTIF(Targets!$D$5:$D$7,"READY")&lt;&gt;3),"NEEDS REVIEW",IFERROR(IF(AND(N73&lt;&gt;"",P73&lt;&gt;"",O73&lt;&gt;"",ROUND(N73,3)&gt;=ROUND(Targets!$B$5,3),ROUND(P73,2)&gt;=ROUND(Targets!$B$6,2),ROUND(O73,3)&gt;=ROUND(Targets!$B$7,3)),"MEETS TARGETS","REVIEW"),"REVIEW")))</f>
        <v/>
      </c>
      <c r="R73" s="17" t="str">
        <f aca="false">IF(COUNTA(A73:J73)=0,"",IFERROR(IF(A73="","ENTER MARKET DATE",IF(NOT(ISNUMBER(A73)),"ENTER A VALID DATE",IF(B73="","ENTER MARKET NAME",IF(C73="","ENTER PRODUCT BATCH",IF(COUNTIFS($A$5:$A$104,A73,$B$5:$B$104,B73,$C$5:$C$104,C73)&gt;1,"REMOVE DUPLICATE PRODUCT ROW",IF(OR(NOT(ISNUMBER(D73)),D73&lt;=0,D73&lt;&gt;INT(D73)),"ENTER UNITS BROUGHT AS A POSITIVE WHOLE NUMBER",IF(OR(NOT(ISNUMBER(E73)),E73&lt;0,E73&lt;&gt;INT(E73),E73&gt;D73),"CHECK WHOLE UNITS SOLD",IF(OR(NOT(ISNUMBER(F73)),F73&lt;0),"ENTER SALES AS 0 OR MORE",IF(OR(NOT(ISNUMBER(G73)),G73&lt;0),"ENTER INGREDIENT COST AS 0 OR MORE",IF(OR(NOT(ISNUMBER(H73)),H73&lt;0),"ENTER PACKAGING COST AS 0 OR MORE",IF(OR(NOT(ISNUMBER(I73)),I73&lt;0),"ENTER PRODUCT WORK HOURS AS 0 OR MORE",IF(OR(NOT(ISNUMBER(J73)),J73&lt;0),"ENTER TIME VALUE AS 0 OR MORE",IF(COUNTIFS('Market Days'!$A$5:$A$54,A73,'Market Days'!$B$5:$B$54,B73,'Market Days'!$I$5:$I$54,"READY")&lt;&gt;1,"FIX OR ADD MATCHING MARKET DAY","READY"))))))))))))),"FIX INVALID PRODUCT ENTRY"))</f>
        <v/>
      </c>
    </row>
    <row r="74" customFormat="false" ht="22" hidden="false" customHeight="true" outlineLevel="0" collapsed="false">
      <c r="A74" s="27"/>
      <c r="B74" s="28"/>
      <c r="C74" s="28"/>
      <c r="D74" s="28"/>
      <c r="E74" s="28"/>
      <c r="F74" s="19"/>
      <c r="G74" s="19"/>
      <c r="H74" s="19"/>
      <c r="I74" s="29"/>
      <c r="J74" s="19"/>
      <c r="K74" s="34" t="str">
        <f aca="false">IF(R74&lt;&gt;"READY","",IFERROR(ROUND((ROUND(SUMIFS('Market Days'!$C$5:$C$54,'Market Days'!$A$5:$A$54,A74,'Market Days'!$B$5:$B$54,B74,'Market Days'!$I$5:$I$54,"READY"),2)+ROUND(SUMIFS('Market Days'!$D$5:$D$54,'Market Days'!$A$5:$A$54,A74,'Market Days'!$B$5:$B$54,B74,'Market Days'!$I$5:$I$54,"READY"),2))/COUNTIFS($A$5:$A$104,A74,$B$5:$B$104,B74,$R$5:$R$104,"READY"),2),""))</f>
        <v/>
      </c>
      <c r="L74" s="34" t="str">
        <f aca="false">IF(R74&lt;&gt;"READY","",IFERROR(ROUND(ROUND(G74,2)+ROUND(H74,2)+ROUND(I74*ROUND(J74,2),2)+K74,2),""))</f>
        <v/>
      </c>
      <c r="M74" s="34" t="str">
        <f aca="false">IF(R74&lt;&gt;"READY","",IFERROR(ROUND(ROUND(F74,2)-L74,2),""))</f>
        <v/>
      </c>
      <c r="N74" s="35" t="str">
        <f aca="false">IF(R74&lt;&gt;"READY","",IFERROR(IF(ROUND(F74,2)=0,"",M74/ROUND(F74,2)),""))</f>
        <v/>
      </c>
      <c r="O74" s="35" t="str">
        <f aca="false">IF(R74&lt;&gt;"READY","",IFERROR(E74/D74,""))</f>
        <v/>
      </c>
      <c r="P74" s="34" t="str">
        <f aca="false">IF(R74&lt;&gt;"READY","",IFERROR(IF(I74=0,"",M74/I74),""))</f>
        <v/>
      </c>
      <c r="Q74" s="36" t="str">
        <f aca="false">IF(COUNTA(A74:J74)=0,"",IF(OR(R74&lt;&gt;"READY",COUNTIF(Targets!$D$5:$D$7,"READY")&lt;&gt;3),"NEEDS REVIEW",IFERROR(IF(AND(N74&lt;&gt;"",P74&lt;&gt;"",O74&lt;&gt;"",ROUND(N74,3)&gt;=ROUND(Targets!$B$5,3),ROUND(P74,2)&gt;=ROUND(Targets!$B$6,2),ROUND(O74,3)&gt;=ROUND(Targets!$B$7,3)),"MEETS TARGETS","REVIEW"),"REVIEW")))</f>
        <v/>
      </c>
      <c r="R74" s="17" t="str">
        <f aca="false">IF(COUNTA(A74:J74)=0,"",IFERROR(IF(A74="","ENTER MARKET DATE",IF(NOT(ISNUMBER(A74)),"ENTER A VALID DATE",IF(B74="","ENTER MARKET NAME",IF(C74="","ENTER PRODUCT BATCH",IF(COUNTIFS($A$5:$A$104,A74,$B$5:$B$104,B74,$C$5:$C$104,C74)&gt;1,"REMOVE DUPLICATE PRODUCT ROW",IF(OR(NOT(ISNUMBER(D74)),D74&lt;=0,D74&lt;&gt;INT(D74)),"ENTER UNITS BROUGHT AS A POSITIVE WHOLE NUMBER",IF(OR(NOT(ISNUMBER(E74)),E74&lt;0,E74&lt;&gt;INT(E74),E74&gt;D74),"CHECK WHOLE UNITS SOLD",IF(OR(NOT(ISNUMBER(F74)),F74&lt;0),"ENTER SALES AS 0 OR MORE",IF(OR(NOT(ISNUMBER(G74)),G74&lt;0),"ENTER INGREDIENT COST AS 0 OR MORE",IF(OR(NOT(ISNUMBER(H74)),H74&lt;0),"ENTER PACKAGING COST AS 0 OR MORE",IF(OR(NOT(ISNUMBER(I74)),I74&lt;0),"ENTER PRODUCT WORK HOURS AS 0 OR MORE",IF(OR(NOT(ISNUMBER(J74)),J74&lt;0),"ENTER TIME VALUE AS 0 OR MORE",IF(COUNTIFS('Market Days'!$A$5:$A$54,A74,'Market Days'!$B$5:$B$54,B74,'Market Days'!$I$5:$I$54,"READY")&lt;&gt;1,"FIX OR ADD MATCHING MARKET DAY","READY"))))))))))))),"FIX INVALID PRODUCT ENTRY"))</f>
        <v/>
      </c>
    </row>
    <row r="75" customFormat="false" ht="22" hidden="false" customHeight="true" outlineLevel="0" collapsed="false">
      <c r="A75" s="27"/>
      <c r="B75" s="28"/>
      <c r="C75" s="28"/>
      <c r="D75" s="28"/>
      <c r="E75" s="28"/>
      <c r="F75" s="19"/>
      <c r="G75" s="19"/>
      <c r="H75" s="19"/>
      <c r="I75" s="29"/>
      <c r="J75" s="19"/>
      <c r="K75" s="34" t="str">
        <f aca="false">IF(R75&lt;&gt;"READY","",IFERROR(ROUND((ROUND(SUMIFS('Market Days'!$C$5:$C$54,'Market Days'!$A$5:$A$54,A75,'Market Days'!$B$5:$B$54,B75,'Market Days'!$I$5:$I$54,"READY"),2)+ROUND(SUMIFS('Market Days'!$D$5:$D$54,'Market Days'!$A$5:$A$54,A75,'Market Days'!$B$5:$B$54,B75,'Market Days'!$I$5:$I$54,"READY"),2))/COUNTIFS($A$5:$A$104,A75,$B$5:$B$104,B75,$R$5:$R$104,"READY"),2),""))</f>
        <v/>
      </c>
      <c r="L75" s="34" t="str">
        <f aca="false">IF(R75&lt;&gt;"READY","",IFERROR(ROUND(ROUND(G75,2)+ROUND(H75,2)+ROUND(I75*ROUND(J75,2),2)+K75,2),""))</f>
        <v/>
      </c>
      <c r="M75" s="34" t="str">
        <f aca="false">IF(R75&lt;&gt;"READY","",IFERROR(ROUND(ROUND(F75,2)-L75,2),""))</f>
        <v/>
      </c>
      <c r="N75" s="35" t="str">
        <f aca="false">IF(R75&lt;&gt;"READY","",IFERROR(IF(ROUND(F75,2)=0,"",M75/ROUND(F75,2)),""))</f>
        <v/>
      </c>
      <c r="O75" s="35" t="str">
        <f aca="false">IF(R75&lt;&gt;"READY","",IFERROR(E75/D75,""))</f>
        <v/>
      </c>
      <c r="P75" s="34" t="str">
        <f aca="false">IF(R75&lt;&gt;"READY","",IFERROR(IF(I75=0,"",M75/I75),""))</f>
        <v/>
      </c>
      <c r="Q75" s="36" t="str">
        <f aca="false">IF(COUNTA(A75:J75)=0,"",IF(OR(R75&lt;&gt;"READY",COUNTIF(Targets!$D$5:$D$7,"READY")&lt;&gt;3),"NEEDS REVIEW",IFERROR(IF(AND(N75&lt;&gt;"",P75&lt;&gt;"",O75&lt;&gt;"",ROUND(N75,3)&gt;=ROUND(Targets!$B$5,3),ROUND(P75,2)&gt;=ROUND(Targets!$B$6,2),ROUND(O75,3)&gt;=ROUND(Targets!$B$7,3)),"MEETS TARGETS","REVIEW"),"REVIEW")))</f>
        <v/>
      </c>
      <c r="R75" s="17" t="str">
        <f aca="false">IF(COUNTA(A75:J75)=0,"",IFERROR(IF(A75="","ENTER MARKET DATE",IF(NOT(ISNUMBER(A75)),"ENTER A VALID DATE",IF(B75="","ENTER MARKET NAME",IF(C75="","ENTER PRODUCT BATCH",IF(COUNTIFS($A$5:$A$104,A75,$B$5:$B$104,B75,$C$5:$C$104,C75)&gt;1,"REMOVE DUPLICATE PRODUCT ROW",IF(OR(NOT(ISNUMBER(D75)),D75&lt;=0,D75&lt;&gt;INT(D75)),"ENTER UNITS BROUGHT AS A POSITIVE WHOLE NUMBER",IF(OR(NOT(ISNUMBER(E75)),E75&lt;0,E75&lt;&gt;INT(E75),E75&gt;D75),"CHECK WHOLE UNITS SOLD",IF(OR(NOT(ISNUMBER(F75)),F75&lt;0),"ENTER SALES AS 0 OR MORE",IF(OR(NOT(ISNUMBER(G75)),G75&lt;0),"ENTER INGREDIENT COST AS 0 OR MORE",IF(OR(NOT(ISNUMBER(H75)),H75&lt;0),"ENTER PACKAGING COST AS 0 OR MORE",IF(OR(NOT(ISNUMBER(I75)),I75&lt;0),"ENTER PRODUCT WORK HOURS AS 0 OR MORE",IF(OR(NOT(ISNUMBER(J75)),J75&lt;0),"ENTER TIME VALUE AS 0 OR MORE",IF(COUNTIFS('Market Days'!$A$5:$A$54,A75,'Market Days'!$B$5:$B$54,B75,'Market Days'!$I$5:$I$54,"READY")&lt;&gt;1,"FIX OR ADD MATCHING MARKET DAY","READY"))))))))))))),"FIX INVALID PRODUCT ENTRY"))</f>
        <v/>
      </c>
    </row>
    <row r="76" customFormat="false" ht="22" hidden="false" customHeight="true" outlineLevel="0" collapsed="false">
      <c r="A76" s="27"/>
      <c r="B76" s="28"/>
      <c r="C76" s="28"/>
      <c r="D76" s="28"/>
      <c r="E76" s="28"/>
      <c r="F76" s="19"/>
      <c r="G76" s="19"/>
      <c r="H76" s="19"/>
      <c r="I76" s="29"/>
      <c r="J76" s="19"/>
      <c r="K76" s="34" t="str">
        <f aca="false">IF(R76&lt;&gt;"READY","",IFERROR(ROUND((ROUND(SUMIFS('Market Days'!$C$5:$C$54,'Market Days'!$A$5:$A$54,A76,'Market Days'!$B$5:$B$54,B76,'Market Days'!$I$5:$I$54,"READY"),2)+ROUND(SUMIFS('Market Days'!$D$5:$D$54,'Market Days'!$A$5:$A$54,A76,'Market Days'!$B$5:$B$54,B76,'Market Days'!$I$5:$I$54,"READY"),2))/COUNTIFS($A$5:$A$104,A76,$B$5:$B$104,B76,$R$5:$R$104,"READY"),2),""))</f>
        <v/>
      </c>
      <c r="L76" s="34" t="str">
        <f aca="false">IF(R76&lt;&gt;"READY","",IFERROR(ROUND(ROUND(G76,2)+ROUND(H76,2)+ROUND(I76*ROUND(J76,2),2)+K76,2),""))</f>
        <v/>
      </c>
      <c r="M76" s="34" t="str">
        <f aca="false">IF(R76&lt;&gt;"READY","",IFERROR(ROUND(ROUND(F76,2)-L76,2),""))</f>
        <v/>
      </c>
      <c r="N76" s="35" t="str">
        <f aca="false">IF(R76&lt;&gt;"READY","",IFERROR(IF(ROUND(F76,2)=0,"",M76/ROUND(F76,2)),""))</f>
        <v/>
      </c>
      <c r="O76" s="35" t="str">
        <f aca="false">IF(R76&lt;&gt;"READY","",IFERROR(E76/D76,""))</f>
        <v/>
      </c>
      <c r="P76" s="34" t="str">
        <f aca="false">IF(R76&lt;&gt;"READY","",IFERROR(IF(I76=0,"",M76/I76),""))</f>
        <v/>
      </c>
      <c r="Q76" s="36" t="str">
        <f aca="false">IF(COUNTA(A76:J76)=0,"",IF(OR(R76&lt;&gt;"READY",COUNTIF(Targets!$D$5:$D$7,"READY")&lt;&gt;3),"NEEDS REVIEW",IFERROR(IF(AND(N76&lt;&gt;"",P76&lt;&gt;"",O76&lt;&gt;"",ROUND(N76,3)&gt;=ROUND(Targets!$B$5,3),ROUND(P76,2)&gt;=ROUND(Targets!$B$6,2),ROUND(O76,3)&gt;=ROUND(Targets!$B$7,3)),"MEETS TARGETS","REVIEW"),"REVIEW")))</f>
        <v/>
      </c>
      <c r="R76" s="17" t="str">
        <f aca="false">IF(COUNTA(A76:J76)=0,"",IFERROR(IF(A76="","ENTER MARKET DATE",IF(NOT(ISNUMBER(A76)),"ENTER A VALID DATE",IF(B76="","ENTER MARKET NAME",IF(C76="","ENTER PRODUCT BATCH",IF(COUNTIFS($A$5:$A$104,A76,$B$5:$B$104,B76,$C$5:$C$104,C76)&gt;1,"REMOVE DUPLICATE PRODUCT ROW",IF(OR(NOT(ISNUMBER(D76)),D76&lt;=0,D76&lt;&gt;INT(D76)),"ENTER UNITS BROUGHT AS A POSITIVE WHOLE NUMBER",IF(OR(NOT(ISNUMBER(E76)),E76&lt;0,E76&lt;&gt;INT(E76),E76&gt;D76),"CHECK WHOLE UNITS SOLD",IF(OR(NOT(ISNUMBER(F76)),F76&lt;0),"ENTER SALES AS 0 OR MORE",IF(OR(NOT(ISNUMBER(G76)),G76&lt;0),"ENTER INGREDIENT COST AS 0 OR MORE",IF(OR(NOT(ISNUMBER(H76)),H76&lt;0),"ENTER PACKAGING COST AS 0 OR MORE",IF(OR(NOT(ISNUMBER(I76)),I76&lt;0),"ENTER PRODUCT WORK HOURS AS 0 OR MORE",IF(OR(NOT(ISNUMBER(J76)),J76&lt;0),"ENTER TIME VALUE AS 0 OR MORE",IF(COUNTIFS('Market Days'!$A$5:$A$54,A76,'Market Days'!$B$5:$B$54,B76,'Market Days'!$I$5:$I$54,"READY")&lt;&gt;1,"FIX OR ADD MATCHING MARKET DAY","READY"))))))))))))),"FIX INVALID PRODUCT ENTRY"))</f>
        <v/>
      </c>
    </row>
    <row r="77" customFormat="false" ht="22" hidden="false" customHeight="true" outlineLevel="0" collapsed="false">
      <c r="A77" s="27"/>
      <c r="B77" s="28"/>
      <c r="C77" s="28"/>
      <c r="D77" s="28"/>
      <c r="E77" s="28"/>
      <c r="F77" s="19"/>
      <c r="G77" s="19"/>
      <c r="H77" s="19"/>
      <c r="I77" s="29"/>
      <c r="J77" s="19"/>
      <c r="K77" s="34" t="str">
        <f aca="false">IF(R77&lt;&gt;"READY","",IFERROR(ROUND((ROUND(SUMIFS('Market Days'!$C$5:$C$54,'Market Days'!$A$5:$A$54,A77,'Market Days'!$B$5:$B$54,B77,'Market Days'!$I$5:$I$54,"READY"),2)+ROUND(SUMIFS('Market Days'!$D$5:$D$54,'Market Days'!$A$5:$A$54,A77,'Market Days'!$B$5:$B$54,B77,'Market Days'!$I$5:$I$54,"READY"),2))/COUNTIFS($A$5:$A$104,A77,$B$5:$B$104,B77,$R$5:$R$104,"READY"),2),""))</f>
        <v/>
      </c>
      <c r="L77" s="34" t="str">
        <f aca="false">IF(R77&lt;&gt;"READY","",IFERROR(ROUND(ROUND(G77,2)+ROUND(H77,2)+ROUND(I77*ROUND(J77,2),2)+K77,2),""))</f>
        <v/>
      </c>
      <c r="M77" s="34" t="str">
        <f aca="false">IF(R77&lt;&gt;"READY","",IFERROR(ROUND(ROUND(F77,2)-L77,2),""))</f>
        <v/>
      </c>
      <c r="N77" s="35" t="str">
        <f aca="false">IF(R77&lt;&gt;"READY","",IFERROR(IF(ROUND(F77,2)=0,"",M77/ROUND(F77,2)),""))</f>
        <v/>
      </c>
      <c r="O77" s="35" t="str">
        <f aca="false">IF(R77&lt;&gt;"READY","",IFERROR(E77/D77,""))</f>
        <v/>
      </c>
      <c r="P77" s="34" t="str">
        <f aca="false">IF(R77&lt;&gt;"READY","",IFERROR(IF(I77=0,"",M77/I77),""))</f>
        <v/>
      </c>
      <c r="Q77" s="36" t="str">
        <f aca="false">IF(COUNTA(A77:J77)=0,"",IF(OR(R77&lt;&gt;"READY",COUNTIF(Targets!$D$5:$D$7,"READY")&lt;&gt;3),"NEEDS REVIEW",IFERROR(IF(AND(N77&lt;&gt;"",P77&lt;&gt;"",O77&lt;&gt;"",ROUND(N77,3)&gt;=ROUND(Targets!$B$5,3),ROUND(P77,2)&gt;=ROUND(Targets!$B$6,2),ROUND(O77,3)&gt;=ROUND(Targets!$B$7,3)),"MEETS TARGETS","REVIEW"),"REVIEW")))</f>
        <v/>
      </c>
      <c r="R77" s="17" t="str">
        <f aca="false">IF(COUNTA(A77:J77)=0,"",IFERROR(IF(A77="","ENTER MARKET DATE",IF(NOT(ISNUMBER(A77)),"ENTER A VALID DATE",IF(B77="","ENTER MARKET NAME",IF(C77="","ENTER PRODUCT BATCH",IF(COUNTIFS($A$5:$A$104,A77,$B$5:$B$104,B77,$C$5:$C$104,C77)&gt;1,"REMOVE DUPLICATE PRODUCT ROW",IF(OR(NOT(ISNUMBER(D77)),D77&lt;=0,D77&lt;&gt;INT(D77)),"ENTER UNITS BROUGHT AS A POSITIVE WHOLE NUMBER",IF(OR(NOT(ISNUMBER(E77)),E77&lt;0,E77&lt;&gt;INT(E77),E77&gt;D77),"CHECK WHOLE UNITS SOLD",IF(OR(NOT(ISNUMBER(F77)),F77&lt;0),"ENTER SALES AS 0 OR MORE",IF(OR(NOT(ISNUMBER(G77)),G77&lt;0),"ENTER INGREDIENT COST AS 0 OR MORE",IF(OR(NOT(ISNUMBER(H77)),H77&lt;0),"ENTER PACKAGING COST AS 0 OR MORE",IF(OR(NOT(ISNUMBER(I77)),I77&lt;0),"ENTER PRODUCT WORK HOURS AS 0 OR MORE",IF(OR(NOT(ISNUMBER(J77)),J77&lt;0),"ENTER TIME VALUE AS 0 OR MORE",IF(COUNTIFS('Market Days'!$A$5:$A$54,A77,'Market Days'!$B$5:$B$54,B77,'Market Days'!$I$5:$I$54,"READY")&lt;&gt;1,"FIX OR ADD MATCHING MARKET DAY","READY"))))))))))))),"FIX INVALID PRODUCT ENTRY"))</f>
        <v/>
      </c>
    </row>
    <row r="78" customFormat="false" ht="22" hidden="false" customHeight="true" outlineLevel="0" collapsed="false">
      <c r="A78" s="27"/>
      <c r="B78" s="28"/>
      <c r="C78" s="28"/>
      <c r="D78" s="28"/>
      <c r="E78" s="28"/>
      <c r="F78" s="19"/>
      <c r="G78" s="19"/>
      <c r="H78" s="19"/>
      <c r="I78" s="29"/>
      <c r="J78" s="19"/>
      <c r="K78" s="34" t="str">
        <f aca="false">IF(R78&lt;&gt;"READY","",IFERROR(ROUND((ROUND(SUMIFS('Market Days'!$C$5:$C$54,'Market Days'!$A$5:$A$54,A78,'Market Days'!$B$5:$B$54,B78,'Market Days'!$I$5:$I$54,"READY"),2)+ROUND(SUMIFS('Market Days'!$D$5:$D$54,'Market Days'!$A$5:$A$54,A78,'Market Days'!$B$5:$B$54,B78,'Market Days'!$I$5:$I$54,"READY"),2))/COUNTIFS($A$5:$A$104,A78,$B$5:$B$104,B78,$R$5:$R$104,"READY"),2),""))</f>
        <v/>
      </c>
      <c r="L78" s="34" t="str">
        <f aca="false">IF(R78&lt;&gt;"READY","",IFERROR(ROUND(ROUND(G78,2)+ROUND(H78,2)+ROUND(I78*ROUND(J78,2),2)+K78,2),""))</f>
        <v/>
      </c>
      <c r="M78" s="34" t="str">
        <f aca="false">IF(R78&lt;&gt;"READY","",IFERROR(ROUND(ROUND(F78,2)-L78,2),""))</f>
        <v/>
      </c>
      <c r="N78" s="35" t="str">
        <f aca="false">IF(R78&lt;&gt;"READY","",IFERROR(IF(ROUND(F78,2)=0,"",M78/ROUND(F78,2)),""))</f>
        <v/>
      </c>
      <c r="O78" s="35" t="str">
        <f aca="false">IF(R78&lt;&gt;"READY","",IFERROR(E78/D78,""))</f>
        <v/>
      </c>
      <c r="P78" s="34" t="str">
        <f aca="false">IF(R78&lt;&gt;"READY","",IFERROR(IF(I78=0,"",M78/I78),""))</f>
        <v/>
      </c>
      <c r="Q78" s="36" t="str">
        <f aca="false">IF(COUNTA(A78:J78)=0,"",IF(OR(R78&lt;&gt;"READY",COUNTIF(Targets!$D$5:$D$7,"READY")&lt;&gt;3),"NEEDS REVIEW",IFERROR(IF(AND(N78&lt;&gt;"",P78&lt;&gt;"",O78&lt;&gt;"",ROUND(N78,3)&gt;=ROUND(Targets!$B$5,3),ROUND(P78,2)&gt;=ROUND(Targets!$B$6,2),ROUND(O78,3)&gt;=ROUND(Targets!$B$7,3)),"MEETS TARGETS","REVIEW"),"REVIEW")))</f>
        <v/>
      </c>
      <c r="R78" s="17" t="str">
        <f aca="false">IF(COUNTA(A78:J78)=0,"",IFERROR(IF(A78="","ENTER MARKET DATE",IF(NOT(ISNUMBER(A78)),"ENTER A VALID DATE",IF(B78="","ENTER MARKET NAME",IF(C78="","ENTER PRODUCT BATCH",IF(COUNTIFS($A$5:$A$104,A78,$B$5:$B$104,B78,$C$5:$C$104,C78)&gt;1,"REMOVE DUPLICATE PRODUCT ROW",IF(OR(NOT(ISNUMBER(D78)),D78&lt;=0,D78&lt;&gt;INT(D78)),"ENTER UNITS BROUGHT AS A POSITIVE WHOLE NUMBER",IF(OR(NOT(ISNUMBER(E78)),E78&lt;0,E78&lt;&gt;INT(E78),E78&gt;D78),"CHECK WHOLE UNITS SOLD",IF(OR(NOT(ISNUMBER(F78)),F78&lt;0),"ENTER SALES AS 0 OR MORE",IF(OR(NOT(ISNUMBER(G78)),G78&lt;0),"ENTER INGREDIENT COST AS 0 OR MORE",IF(OR(NOT(ISNUMBER(H78)),H78&lt;0),"ENTER PACKAGING COST AS 0 OR MORE",IF(OR(NOT(ISNUMBER(I78)),I78&lt;0),"ENTER PRODUCT WORK HOURS AS 0 OR MORE",IF(OR(NOT(ISNUMBER(J78)),J78&lt;0),"ENTER TIME VALUE AS 0 OR MORE",IF(COUNTIFS('Market Days'!$A$5:$A$54,A78,'Market Days'!$B$5:$B$54,B78,'Market Days'!$I$5:$I$54,"READY")&lt;&gt;1,"FIX OR ADD MATCHING MARKET DAY","READY"))))))))))))),"FIX INVALID PRODUCT ENTRY"))</f>
        <v/>
      </c>
    </row>
    <row r="79" customFormat="false" ht="22" hidden="false" customHeight="true" outlineLevel="0" collapsed="false">
      <c r="A79" s="27"/>
      <c r="B79" s="28"/>
      <c r="C79" s="28"/>
      <c r="D79" s="28"/>
      <c r="E79" s="28"/>
      <c r="F79" s="19"/>
      <c r="G79" s="19"/>
      <c r="H79" s="19"/>
      <c r="I79" s="29"/>
      <c r="J79" s="19"/>
      <c r="K79" s="34" t="str">
        <f aca="false">IF(R79&lt;&gt;"READY","",IFERROR(ROUND((ROUND(SUMIFS('Market Days'!$C$5:$C$54,'Market Days'!$A$5:$A$54,A79,'Market Days'!$B$5:$B$54,B79,'Market Days'!$I$5:$I$54,"READY"),2)+ROUND(SUMIFS('Market Days'!$D$5:$D$54,'Market Days'!$A$5:$A$54,A79,'Market Days'!$B$5:$B$54,B79,'Market Days'!$I$5:$I$54,"READY"),2))/COUNTIFS($A$5:$A$104,A79,$B$5:$B$104,B79,$R$5:$R$104,"READY"),2),""))</f>
        <v/>
      </c>
      <c r="L79" s="34" t="str">
        <f aca="false">IF(R79&lt;&gt;"READY","",IFERROR(ROUND(ROUND(G79,2)+ROUND(H79,2)+ROUND(I79*ROUND(J79,2),2)+K79,2),""))</f>
        <v/>
      </c>
      <c r="M79" s="34" t="str">
        <f aca="false">IF(R79&lt;&gt;"READY","",IFERROR(ROUND(ROUND(F79,2)-L79,2),""))</f>
        <v/>
      </c>
      <c r="N79" s="35" t="str">
        <f aca="false">IF(R79&lt;&gt;"READY","",IFERROR(IF(ROUND(F79,2)=0,"",M79/ROUND(F79,2)),""))</f>
        <v/>
      </c>
      <c r="O79" s="35" t="str">
        <f aca="false">IF(R79&lt;&gt;"READY","",IFERROR(E79/D79,""))</f>
        <v/>
      </c>
      <c r="P79" s="34" t="str">
        <f aca="false">IF(R79&lt;&gt;"READY","",IFERROR(IF(I79=0,"",M79/I79),""))</f>
        <v/>
      </c>
      <c r="Q79" s="36" t="str">
        <f aca="false">IF(COUNTA(A79:J79)=0,"",IF(OR(R79&lt;&gt;"READY",COUNTIF(Targets!$D$5:$D$7,"READY")&lt;&gt;3),"NEEDS REVIEW",IFERROR(IF(AND(N79&lt;&gt;"",P79&lt;&gt;"",O79&lt;&gt;"",ROUND(N79,3)&gt;=ROUND(Targets!$B$5,3),ROUND(P79,2)&gt;=ROUND(Targets!$B$6,2),ROUND(O79,3)&gt;=ROUND(Targets!$B$7,3)),"MEETS TARGETS","REVIEW"),"REVIEW")))</f>
        <v/>
      </c>
      <c r="R79" s="17" t="str">
        <f aca="false">IF(COUNTA(A79:J79)=0,"",IFERROR(IF(A79="","ENTER MARKET DATE",IF(NOT(ISNUMBER(A79)),"ENTER A VALID DATE",IF(B79="","ENTER MARKET NAME",IF(C79="","ENTER PRODUCT BATCH",IF(COUNTIFS($A$5:$A$104,A79,$B$5:$B$104,B79,$C$5:$C$104,C79)&gt;1,"REMOVE DUPLICATE PRODUCT ROW",IF(OR(NOT(ISNUMBER(D79)),D79&lt;=0,D79&lt;&gt;INT(D79)),"ENTER UNITS BROUGHT AS A POSITIVE WHOLE NUMBER",IF(OR(NOT(ISNUMBER(E79)),E79&lt;0,E79&lt;&gt;INT(E79),E79&gt;D79),"CHECK WHOLE UNITS SOLD",IF(OR(NOT(ISNUMBER(F79)),F79&lt;0),"ENTER SALES AS 0 OR MORE",IF(OR(NOT(ISNUMBER(G79)),G79&lt;0),"ENTER INGREDIENT COST AS 0 OR MORE",IF(OR(NOT(ISNUMBER(H79)),H79&lt;0),"ENTER PACKAGING COST AS 0 OR MORE",IF(OR(NOT(ISNUMBER(I79)),I79&lt;0),"ENTER PRODUCT WORK HOURS AS 0 OR MORE",IF(OR(NOT(ISNUMBER(J79)),J79&lt;0),"ENTER TIME VALUE AS 0 OR MORE",IF(COUNTIFS('Market Days'!$A$5:$A$54,A79,'Market Days'!$B$5:$B$54,B79,'Market Days'!$I$5:$I$54,"READY")&lt;&gt;1,"FIX OR ADD MATCHING MARKET DAY","READY"))))))))))))),"FIX INVALID PRODUCT ENTRY"))</f>
        <v/>
      </c>
    </row>
    <row r="80" customFormat="false" ht="22" hidden="false" customHeight="true" outlineLevel="0" collapsed="false">
      <c r="A80" s="27"/>
      <c r="B80" s="28"/>
      <c r="C80" s="28"/>
      <c r="D80" s="28"/>
      <c r="E80" s="28"/>
      <c r="F80" s="19"/>
      <c r="G80" s="19"/>
      <c r="H80" s="19"/>
      <c r="I80" s="29"/>
      <c r="J80" s="19"/>
      <c r="K80" s="34" t="str">
        <f aca="false">IF(R80&lt;&gt;"READY","",IFERROR(ROUND((ROUND(SUMIFS('Market Days'!$C$5:$C$54,'Market Days'!$A$5:$A$54,A80,'Market Days'!$B$5:$B$54,B80,'Market Days'!$I$5:$I$54,"READY"),2)+ROUND(SUMIFS('Market Days'!$D$5:$D$54,'Market Days'!$A$5:$A$54,A80,'Market Days'!$B$5:$B$54,B80,'Market Days'!$I$5:$I$54,"READY"),2))/COUNTIFS($A$5:$A$104,A80,$B$5:$B$104,B80,$R$5:$R$104,"READY"),2),""))</f>
        <v/>
      </c>
      <c r="L80" s="34" t="str">
        <f aca="false">IF(R80&lt;&gt;"READY","",IFERROR(ROUND(ROUND(G80,2)+ROUND(H80,2)+ROUND(I80*ROUND(J80,2),2)+K80,2),""))</f>
        <v/>
      </c>
      <c r="M80" s="34" t="str">
        <f aca="false">IF(R80&lt;&gt;"READY","",IFERROR(ROUND(ROUND(F80,2)-L80,2),""))</f>
        <v/>
      </c>
      <c r="N80" s="35" t="str">
        <f aca="false">IF(R80&lt;&gt;"READY","",IFERROR(IF(ROUND(F80,2)=0,"",M80/ROUND(F80,2)),""))</f>
        <v/>
      </c>
      <c r="O80" s="35" t="str">
        <f aca="false">IF(R80&lt;&gt;"READY","",IFERROR(E80/D80,""))</f>
        <v/>
      </c>
      <c r="P80" s="34" t="str">
        <f aca="false">IF(R80&lt;&gt;"READY","",IFERROR(IF(I80=0,"",M80/I80),""))</f>
        <v/>
      </c>
      <c r="Q80" s="36" t="str">
        <f aca="false">IF(COUNTA(A80:J80)=0,"",IF(OR(R80&lt;&gt;"READY",COUNTIF(Targets!$D$5:$D$7,"READY")&lt;&gt;3),"NEEDS REVIEW",IFERROR(IF(AND(N80&lt;&gt;"",P80&lt;&gt;"",O80&lt;&gt;"",ROUND(N80,3)&gt;=ROUND(Targets!$B$5,3),ROUND(P80,2)&gt;=ROUND(Targets!$B$6,2),ROUND(O80,3)&gt;=ROUND(Targets!$B$7,3)),"MEETS TARGETS","REVIEW"),"REVIEW")))</f>
        <v/>
      </c>
      <c r="R80" s="17" t="str">
        <f aca="false">IF(COUNTA(A80:J80)=0,"",IFERROR(IF(A80="","ENTER MARKET DATE",IF(NOT(ISNUMBER(A80)),"ENTER A VALID DATE",IF(B80="","ENTER MARKET NAME",IF(C80="","ENTER PRODUCT BATCH",IF(COUNTIFS($A$5:$A$104,A80,$B$5:$B$104,B80,$C$5:$C$104,C80)&gt;1,"REMOVE DUPLICATE PRODUCT ROW",IF(OR(NOT(ISNUMBER(D80)),D80&lt;=0,D80&lt;&gt;INT(D80)),"ENTER UNITS BROUGHT AS A POSITIVE WHOLE NUMBER",IF(OR(NOT(ISNUMBER(E80)),E80&lt;0,E80&lt;&gt;INT(E80),E80&gt;D80),"CHECK WHOLE UNITS SOLD",IF(OR(NOT(ISNUMBER(F80)),F80&lt;0),"ENTER SALES AS 0 OR MORE",IF(OR(NOT(ISNUMBER(G80)),G80&lt;0),"ENTER INGREDIENT COST AS 0 OR MORE",IF(OR(NOT(ISNUMBER(H80)),H80&lt;0),"ENTER PACKAGING COST AS 0 OR MORE",IF(OR(NOT(ISNUMBER(I80)),I80&lt;0),"ENTER PRODUCT WORK HOURS AS 0 OR MORE",IF(OR(NOT(ISNUMBER(J80)),J80&lt;0),"ENTER TIME VALUE AS 0 OR MORE",IF(COUNTIFS('Market Days'!$A$5:$A$54,A80,'Market Days'!$B$5:$B$54,B80,'Market Days'!$I$5:$I$54,"READY")&lt;&gt;1,"FIX OR ADD MATCHING MARKET DAY","READY"))))))))))))),"FIX INVALID PRODUCT ENTRY"))</f>
        <v/>
      </c>
    </row>
    <row r="81" customFormat="false" ht="22" hidden="false" customHeight="true" outlineLevel="0" collapsed="false">
      <c r="A81" s="27"/>
      <c r="B81" s="28"/>
      <c r="C81" s="28"/>
      <c r="D81" s="28"/>
      <c r="E81" s="28"/>
      <c r="F81" s="19"/>
      <c r="G81" s="19"/>
      <c r="H81" s="19"/>
      <c r="I81" s="29"/>
      <c r="J81" s="19"/>
      <c r="K81" s="34" t="str">
        <f aca="false">IF(R81&lt;&gt;"READY","",IFERROR(ROUND((ROUND(SUMIFS('Market Days'!$C$5:$C$54,'Market Days'!$A$5:$A$54,A81,'Market Days'!$B$5:$B$54,B81,'Market Days'!$I$5:$I$54,"READY"),2)+ROUND(SUMIFS('Market Days'!$D$5:$D$54,'Market Days'!$A$5:$A$54,A81,'Market Days'!$B$5:$B$54,B81,'Market Days'!$I$5:$I$54,"READY"),2))/COUNTIFS($A$5:$A$104,A81,$B$5:$B$104,B81,$R$5:$R$104,"READY"),2),""))</f>
        <v/>
      </c>
      <c r="L81" s="34" t="str">
        <f aca="false">IF(R81&lt;&gt;"READY","",IFERROR(ROUND(ROUND(G81,2)+ROUND(H81,2)+ROUND(I81*ROUND(J81,2),2)+K81,2),""))</f>
        <v/>
      </c>
      <c r="M81" s="34" t="str">
        <f aca="false">IF(R81&lt;&gt;"READY","",IFERROR(ROUND(ROUND(F81,2)-L81,2),""))</f>
        <v/>
      </c>
      <c r="N81" s="35" t="str">
        <f aca="false">IF(R81&lt;&gt;"READY","",IFERROR(IF(ROUND(F81,2)=0,"",M81/ROUND(F81,2)),""))</f>
        <v/>
      </c>
      <c r="O81" s="35" t="str">
        <f aca="false">IF(R81&lt;&gt;"READY","",IFERROR(E81/D81,""))</f>
        <v/>
      </c>
      <c r="P81" s="34" t="str">
        <f aca="false">IF(R81&lt;&gt;"READY","",IFERROR(IF(I81=0,"",M81/I81),""))</f>
        <v/>
      </c>
      <c r="Q81" s="36" t="str">
        <f aca="false">IF(COUNTA(A81:J81)=0,"",IF(OR(R81&lt;&gt;"READY",COUNTIF(Targets!$D$5:$D$7,"READY")&lt;&gt;3),"NEEDS REVIEW",IFERROR(IF(AND(N81&lt;&gt;"",P81&lt;&gt;"",O81&lt;&gt;"",ROUND(N81,3)&gt;=ROUND(Targets!$B$5,3),ROUND(P81,2)&gt;=ROUND(Targets!$B$6,2),ROUND(O81,3)&gt;=ROUND(Targets!$B$7,3)),"MEETS TARGETS","REVIEW"),"REVIEW")))</f>
        <v/>
      </c>
      <c r="R81" s="17" t="str">
        <f aca="false">IF(COUNTA(A81:J81)=0,"",IFERROR(IF(A81="","ENTER MARKET DATE",IF(NOT(ISNUMBER(A81)),"ENTER A VALID DATE",IF(B81="","ENTER MARKET NAME",IF(C81="","ENTER PRODUCT BATCH",IF(COUNTIFS($A$5:$A$104,A81,$B$5:$B$104,B81,$C$5:$C$104,C81)&gt;1,"REMOVE DUPLICATE PRODUCT ROW",IF(OR(NOT(ISNUMBER(D81)),D81&lt;=0,D81&lt;&gt;INT(D81)),"ENTER UNITS BROUGHT AS A POSITIVE WHOLE NUMBER",IF(OR(NOT(ISNUMBER(E81)),E81&lt;0,E81&lt;&gt;INT(E81),E81&gt;D81),"CHECK WHOLE UNITS SOLD",IF(OR(NOT(ISNUMBER(F81)),F81&lt;0),"ENTER SALES AS 0 OR MORE",IF(OR(NOT(ISNUMBER(G81)),G81&lt;0),"ENTER INGREDIENT COST AS 0 OR MORE",IF(OR(NOT(ISNUMBER(H81)),H81&lt;0),"ENTER PACKAGING COST AS 0 OR MORE",IF(OR(NOT(ISNUMBER(I81)),I81&lt;0),"ENTER PRODUCT WORK HOURS AS 0 OR MORE",IF(OR(NOT(ISNUMBER(J81)),J81&lt;0),"ENTER TIME VALUE AS 0 OR MORE",IF(COUNTIFS('Market Days'!$A$5:$A$54,A81,'Market Days'!$B$5:$B$54,B81,'Market Days'!$I$5:$I$54,"READY")&lt;&gt;1,"FIX OR ADD MATCHING MARKET DAY","READY"))))))))))))),"FIX INVALID PRODUCT ENTRY"))</f>
        <v/>
      </c>
    </row>
    <row r="82" customFormat="false" ht="22" hidden="false" customHeight="true" outlineLevel="0" collapsed="false">
      <c r="A82" s="27"/>
      <c r="B82" s="28"/>
      <c r="C82" s="28"/>
      <c r="D82" s="28"/>
      <c r="E82" s="28"/>
      <c r="F82" s="19"/>
      <c r="G82" s="19"/>
      <c r="H82" s="19"/>
      <c r="I82" s="29"/>
      <c r="J82" s="19"/>
      <c r="K82" s="34" t="str">
        <f aca="false">IF(R82&lt;&gt;"READY","",IFERROR(ROUND((ROUND(SUMIFS('Market Days'!$C$5:$C$54,'Market Days'!$A$5:$A$54,A82,'Market Days'!$B$5:$B$54,B82,'Market Days'!$I$5:$I$54,"READY"),2)+ROUND(SUMIFS('Market Days'!$D$5:$D$54,'Market Days'!$A$5:$A$54,A82,'Market Days'!$B$5:$B$54,B82,'Market Days'!$I$5:$I$54,"READY"),2))/COUNTIFS($A$5:$A$104,A82,$B$5:$B$104,B82,$R$5:$R$104,"READY"),2),""))</f>
        <v/>
      </c>
      <c r="L82" s="34" t="str">
        <f aca="false">IF(R82&lt;&gt;"READY","",IFERROR(ROUND(ROUND(G82,2)+ROUND(H82,2)+ROUND(I82*ROUND(J82,2),2)+K82,2),""))</f>
        <v/>
      </c>
      <c r="M82" s="34" t="str">
        <f aca="false">IF(R82&lt;&gt;"READY","",IFERROR(ROUND(ROUND(F82,2)-L82,2),""))</f>
        <v/>
      </c>
      <c r="N82" s="35" t="str">
        <f aca="false">IF(R82&lt;&gt;"READY","",IFERROR(IF(ROUND(F82,2)=0,"",M82/ROUND(F82,2)),""))</f>
        <v/>
      </c>
      <c r="O82" s="35" t="str">
        <f aca="false">IF(R82&lt;&gt;"READY","",IFERROR(E82/D82,""))</f>
        <v/>
      </c>
      <c r="P82" s="34" t="str">
        <f aca="false">IF(R82&lt;&gt;"READY","",IFERROR(IF(I82=0,"",M82/I82),""))</f>
        <v/>
      </c>
      <c r="Q82" s="36" t="str">
        <f aca="false">IF(COUNTA(A82:J82)=0,"",IF(OR(R82&lt;&gt;"READY",COUNTIF(Targets!$D$5:$D$7,"READY")&lt;&gt;3),"NEEDS REVIEW",IFERROR(IF(AND(N82&lt;&gt;"",P82&lt;&gt;"",O82&lt;&gt;"",ROUND(N82,3)&gt;=ROUND(Targets!$B$5,3),ROUND(P82,2)&gt;=ROUND(Targets!$B$6,2),ROUND(O82,3)&gt;=ROUND(Targets!$B$7,3)),"MEETS TARGETS","REVIEW"),"REVIEW")))</f>
        <v/>
      </c>
      <c r="R82" s="17" t="str">
        <f aca="false">IF(COUNTA(A82:J82)=0,"",IFERROR(IF(A82="","ENTER MARKET DATE",IF(NOT(ISNUMBER(A82)),"ENTER A VALID DATE",IF(B82="","ENTER MARKET NAME",IF(C82="","ENTER PRODUCT BATCH",IF(COUNTIFS($A$5:$A$104,A82,$B$5:$B$104,B82,$C$5:$C$104,C82)&gt;1,"REMOVE DUPLICATE PRODUCT ROW",IF(OR(NOT(ISNUMBER(D82)),D82&lt;=0,D82&lt;&gt;INT(D82)),"ENTER UNITS BROUGHT AS A POSITIVE WHOLE NUMBER",IF(OR(NOT(ISNUMBER(E82)),E82&lt;0,E82&lt;&gt;INT(E82),E82&gt;D82),"CHECK WHOLE UNITS SOLD",IF(OR(NOT(ISNUMBER(F82)),F82&lt;0),"ENTER SALES AS 0 OR MORE",IF(OR(NOT(ISNUMBER(G82)),G82&lt;0),"ENTER INGREDIENT COST AS 0 OR MORE",IF(OR(NOT(ISNUMBER(H82)),H82&lt;0),"ENTER PACKAGING COST AS 0 OR MORE",IF(OR(NOT(ISNUMBER(I82)),I82&lt;0),"ENTER PRODUCT WORK HOURS AS 0 OR MORE",IF(OR(NOT(ISNUMBER(J82)),J82&lt;0),"ENTER TIME VALUE AS 0 OR MORE",IF(COUNTIFS('Market Days'!$A$5:$A$54,A82,'Market Days'!$B$5:$B$54,B82,'Market Days'!$I$5:$I$54,"READY")&lt;&gt;1,"FIX OR ADD MATCHING MARKET DAY","READY"))))))))))))),"FIX INVALID PRODUCT ENTRY"))</f>
        <v/>
      </c>
    </row>
    <row r="83" customFormat="false" ht="22" hidden="false" customHeight="true" outlineLevel="0" collapsed="false">
      <c r="A83" s="27"/>
      <c r="B83" s="28"/>
      <c r="C83" s="28"/>
      <c r="D83" s="28"/>
      <c r="E83" s="28"/>
      <c r="F83" s="19"/>
      <c r="G83" s="19"/>
      <c r="H83" s="19"/>
      <c r="I83" s="29"/>
      <c r="J83" s="19"/>
      <c r="K83" s="34" t="str">
        <f aca="false">IF(R83&lt;&gt;"READY","",IFERROR(ROUND((ROUND(SUMIFS('Market Days'!$C$5:$C$54,'Market Days'!$A$5:$A$54,A83,'Market Days'!$B$5:$B$54,B83,'Market Days'!$I$5:$I$54,"READY"),2)+ROUND(SUMIFS('Market Days'!$D$5:$D$54,'Market Days'!$A$5:$A$54,A83,'Market Days'!$B$5:$B$54,B83,'Market Days'!$I$5:$I$54,"READY"),2))/COUNTIFS($A$5:$A$104,A83,$B$5:$B$104,B83,$R$5:$R$104,"READY"),2),""))</f>
        <v/>
      </c>
      <c r="L83" s="34" t="str">
        <f aca="false">IF(R83&lt;&gt;"READY","",IFERROR(ROUND(ROUND(G83,2)+ROUND(H83,2)+ROUND(I83*ROUND(J83,2),2)+K83,2),""))</f>
        <v/>
      </c>
      <c r="M83" s="34" t="str">
        <f aca="false">IF(R83&lt;&gt;"READY","",IFERROR(ROUND(ROUND(F83,2)-L83,2),""))</f>
        <v/>
      </c>
      <c r="N83" s="35" t="str">
        <f aca="false">IF(R83&lt;&gt;"READY","",IFERROR(IF(ROUND(F83,2)=0,"",M83/ROUND(F83,2)),""))</f>
        <v/>
      </c>
      <c r="O83" s="35" t="str">
        <f aca="false">IF(R83&lt;&gt;"READY","",IFERROR(E83/D83,""))</f>
        <v/>
      </c>
      <c r="P83" s="34" t="str">
        <f aca="false">IF(R83&lt;&gt;"READY","",IFERROR(IF(I83=0,"",M83/I83),""))</f>
        <v/>
      </c>
      <c r="Q83" s="36" t="str">
        <f aca="false">IF(COUNTA(A83:J83)=0,"",IF(OR(R83&lt;&gt;"READY",COUNTIF(Targets!$D$5:$D$7,"READY")&lt;&gt;3),"NEEDS REVIEW",IFERROR(IF(AND(N83&lt;&gt;"",P83&lt;&gt;"",O83&lt;&gt;"",ROUND(N83,3)&gt;=ROUND(Targets!$B$5,3),ROUND(P83,2)&gt;=ROUND(Targets!$B$6,2),ROUND(O83,3)&gt;=ROUND(Targets!$B$7,3)),"MEETS TARGETS","REVIEW"),"REVIEW")))</f>
        <v/>
      </c>
      <c r="R83" s="17" t="str">
        <f aca="false">IF(COUNTA(A83:J83)=0,"",IFERROR(IF(A83="","ENTER MARKET DATE",IF(NOT(ISNUMBER(A83)),"ENTER A VALID DATE",IF(B83="","ENTER MARKET NAME",IF(C83="","ENTER PRODUCT BATCH",IF(COUNTIFS($A$5:$A$104,A83,$B$5:$B$104,B83,$C$5:$C$104,C83)&gt;1,"REMOVE DUPLICATE PRODUCT ROW",IF(OR(NOT(ISNUMBER(D83)),D83&lt;=0,D83&lt;&gt;INT(D83)),"ENTER UNITS BROUGHT AS A POSITIVE WHOLE NUMBER",IF(OR(NOT(ISNUMBER(E83)),E83&lt;0,E83&lt;&gt;INT(E83),E83&gt;D83),"CHECK WHOLE UNITS SOLD",IF(OR(NOT(ISNUMBER(F83)),F83&lt;0),"ENTER SALES AS 0 OR MORE",IF(OR(NOT(ISNUMBER(G83)),G83&lt;0),"ENTER INGREDIENT COST AS 0 OR MORE",IF(OR(NOT(ISNUMBER(H83)),H83&lt;0),"ENTER PACKAGING COST AS 0 OR MORE",IF(OR(NOT(ISNUMBER(I83)),I83&lt;0),"ENTER PRODUCT WORK HOURS AS 0 OR MORE",IF(OR(NOT(ISNUMBER(J83)),J83&lt;0),"ENTER TIME VALUE AS 0 OR MORE",IF(COUNTIFS('Market Days'!$A$5:$A$54,A83,'Market Days'!$B$5:$B$54,B83,'Market Days'!$I$5:$I$54,"READY")&lt;&gt;1,"FIX OR ADD MATCHING MARKET DAY","READY"))))))))))))),"FIX INVALID PRODUCT ENTRY"))</f>
        <v/>
      </c>
    </row>
    <row r="84" customFormat="false" ht="22" hidden="false" customHeight="true" outlineLevel="0" collapsed="false">
      <c r="A84" s="27"/>
      <c r="B84" s="28"/>
      <c r="C84" s="28"/>
      <c r="D84" s="28"/>
      <c r="E84" s="28"/>
      <c r="F84" s="19"/>
      <c r="G84" s="19"/>
      <c r="H84" s="19"/>
      <c r="I84" s="29"/>
      <c r="J84" s="19"/>
      <c r="K84" s="34" t="str">
        <f aca="false">IF(R84&lt;&gt;"READY","",IFERROR(ROUND((ROUND(SUMIFS('Market Days'!$C$5:$C$54,'Market Days'!$A$5:$A$54,A84,'Market Days'!$B$5:$B$54,B84,'Market Days'!$I$5:$I$54,"READY"),2)+ROUND(SUMIFS('Market Days'!$D$5:$D$54,'Market Days'!$A$5:$A$54,A84,'Market Days'!$B$5:$B$54,B84,'Market Days'!$I$5:$I$54,"READY"),2))/COUNTIFS($A$5:$A$104,A84,$B$5:$B$104,B84,$R$5:$R$104,"READY"),2),""))</f>
        <v/>
      </c>
      <c r="L84" s="34" t="str">
        <f aca="false">IF(R84&lt;&gt;"READY","",IFERROR(ROUND(ROUND(G84,2)+ROUND(H84,2)+ROUND(I84*ROUND(J84,2),2)+K84,2),""))</f>
        <v/>
      </c>
      <c r="M84" s="34" t="str">
        <f aca="false">IF(R84&lt;&gt;"READY","",IFERROR(ROUND(ROUND(F84,2)-L84,2),""))</f>
        <v/>
      </c>
      <c r="N84" s="35" t="str">
        <f aca="false">IF(R84&lt;&gt;"READY","",IFERROR(IF(ROUND(F84,2)=0,"",M84/ROUND(F84,2)),""))</f>
        <v/>
      </c>
      <c r="O84" s="35" t="str">
        <f aca="false">IF(R84&lt;&gt;"READY","",IFERROR(E84/D84,""))</f>
        <v/>
      </c>
      <c r="P84" s="34" t="str">
        <f aca="false">IF(R84&lt;&gt;"READY","",IFERROR(IF(I84=0,"",M84/I84),""))</f>
        <v/>
      </c>
      <c r="Q84" s="36" t="str">
        <f aca="false">IF(COUNTA(A84:J84)=0,"",IF(OR(R84&lt;&gt;"READY",COUNTIF(Targets!$D$5:$D$7,"READY")&lt;&gt;3),"NEEDS REVIEW",IFERROR(IF(AND(N84&lt;&gt;"",P84&lt;&gt;"",O84&lt;&gt;"",ROUND(N84,3)&gt;=ROUND(Targets!$B$5,3),ROUND(P84,2)&gt;=ROUND(Targets!$B$6,2),ROUND(O84,3)&gt;=ROUND(Targets!$B$7,3)),"MEETS TARGETS","REVIEW"),"REVIEW")))</f>
        <v/>
      </c>
      <c r="R84" s="17" t="str">
        <f aca="false">IF(COUNTA(A84:J84)=0,"",IFERROR(IF(A84="","ENTER MARKET DATE",IF(NOT(ISNUMBER(A84)),"ENTER A VALID DATE",IF(B84="","ENTER MARKET NAME",IF(C84="","ENTER PRODUCT BATCH",IF(COUNTIFS($A$5:$A$104,A84,$B$5:$B$104,B84,$C$5:$C$104,C84)&gt;1,"REMOVE DUPLICATE PRODUCT ROW",IF(OR(NOT(ISNUMBER(D84)),D84&lt;=0,D84&lt;&gt;INT(D84)),"ENTER UNITS BROUGHT AS A POSITIVE WHOLE NUMBER",IF(OR(NOT(ISNUMBER(E84)),E84&lt;0,E84&lt;&gt;INT(E84),E84&gt;D84),"CHECK WHOLE UNITS SOLD",IF(OR(NOT(ISNUMBER(F84)),F84&lt;0),"ENTER SALES AS 0 OR MORE",IF(OR(NOT(ISNUMBER(G84)),G84&lt;0),"ENTER INGREDIENT COST AS 0 OR MORE",IF(OR(NOT(ISNUMBER(H84)),H84&lt;0),"ENTER PACKAGING COST AS 0 OR MORE",IF(OR(NOT(ISNUMBER(I84)),I84&lt;0),"ENTER PRODUCT WORK HOURS AS 0 OR MORE",IF(OR(NOT(ISNUMBER(J84)),J84&lt;0),"ENTER TIME VALUE AS 0 OR MORE",IF(COUNTIFS('Market Days'!$A$5:$A$54,A84,'Market Days'!$B$5:$B$54,B84,'Market Days'!$I$5:$I$54,"READY")&lt;&gt;1,"FIX OR ADD MATCHING MARKET DAY","READY"))))))))))))),"FIX INVALID PRODUCT ENTRY"))</f>
        <v/>
      </c>
    </row>
    <row r="85" customFormat="false" ht="22" hidden="false" customHeight="true" outlineLevel="0" collapsed="false">
      <c r="A85" s="27"/>
      <c r="B85" s="28"/>
      <c r="C85" s="28"/>
      <c r="D85" s="28"/>
      <c r="E85" s="28"/>
      <c r="F85" s="19"/>
      <c r="G85" s="19"/>
      <c r="H85" s="19"/>
      <c r="I85" s="29"/>
      <c r="J85" s="19"/>
      <c r="K85" s="34" t="str">
        <f aca="false">IF(R85&lt;&gt;"READY","",IFERROR(ROUND((ROUND(SUMIFS('Market Days'!$C$5:$C$54,'Market Days'!$A$5:$A$54,A85,'Market Days'!$B$5:$B$54,B85,'Market Days'!$I$5:$I$54,"READY"),2)+ROUND(SUMIFS('Market Days'!$D$5:$D$54,'Market Days'!$A$5:$A$54,A85,'Market Days'!$B$5:$B$54,B85,'Market Days'!$I$5:$I$54,"READY"),2))/COUNTIFS($A$5:$A$104,A85,$B$5:$B$104,B85,$R$5:$R$104,"READY"),2),""))</f>
        <v/>
      </c>
      <c r="L85" s="34" t="str">
        <f aca="false">IF(R85&lt;&gt;"READY","",IFERROR(ROUND(ROUND(G85,2)+ROUND(H85,2)+ROUND(I85*ROUND(J85,2),2)+K85,2),""))</f>
        <v/>
      </c>
      <c r="M85" s="34" t="str">
        <f aca="false">IF(R85&lt;&gt;"READY","",IFERROR(ROUND(ROUND(F85,2)-L85,2),""))</f>
        <v/>
      </c>
      <c r="N85" s="35" t="str">
        <f aca="false">IF(R85&lt;&gt;"READY","",IFERROR(IF(ROUND(F85,2)=0,"",M85/ROUND(F85,2)),""))</f>
        <v/>
      </c>
      <c r="O85" s="35" t="str">
        <f aca="false">IF(R85&lt;&gt;"READY","",IFERROR(E85/D85,""))</f>
        <v/>
      </c>
      <c r="P85" s="34" t="str">
        <f aca="false">IF(R85&lt;&gt;"READY","",IFERROR(IF(I85=0,"",M85/I85),""))</f>
        <v/>
      </c>
      <c r="Q85" s="36" t="str">
        <f aca="false">IF(COUNTA(A85:J85)=0,"",IF(OR(R85&lt;&gt;"READY",COUNTIF(Targets!$D$5:$D$7,"READY")&lt;&gt;3),"NEEDS REVIEW",IFERROR(IF(AND(N85&lt;&gt;"",P85&lt;&gt;"",O85&lt;&gt;"",ROUND(N85,3)&gt;=ROUND(Targets!$B$5,3),ROUND(P85,2)&gt;=ROUND(Targets!$B$6,2),ROUND(O85,3)&gt;=ROUND(Targets!$B$7,3)),"MEETS TARGETS","REVIEW"),"REVIEW")))</f>
        <v/>
      </c>
      <c r="R85" s="17" t="str">
        <f aca="false">IF(COUNTA(A85:J85)=0,"",IFERROR(IF(A85="","ENTER MARKET DATE",IF(NOT(ISNUMBER(A85)),"ENTER A VALID DATE",IF(B85="","ENTER MARKET NAME",IF(C85="","ENTER PRODUCT BATCH",IF(COUNTIFS($A$5:$A$104,A85,$B$5:$B$104,B85,$C$5:$C$104,C85)&gt;1,"REMOVE DUPLICATE PRODUCT ROW",IF(OR(NOT(ISNUMBER(D85)),D85&lt;=0,D85&lt;&gt;INT(D85)),"ENTER UNITS BROUGHT AS A POSITIVE WHOLE NUMBER",IF(OR(NOT(ISNUMBER(E85)),E85&lt;0,E85&lt;&gt;INT(E85),E85&gt;D85),"CHECK WHOLE UNITS SOLD",IF(OR(NOT(ISNUMBER(F85)),F85&lt;0),"ENTER SALES AS 0 OR MORE",IF(OR(NOT(ISNUMBER(G85)),G85&lt;0),"ENTER INGREDIENT COST AS 0 OR MORE",IF(OR(NOT(ISNUMBER(H85)),H85&lt;0),"ENTER PACKAGING COST AS 0 OR MORE",IF(OR(NOT(ISNUMBER(I85)),I85&lt;0),"ENTER PRODUCT WORK HOURS AS 0 OR MORE",IF(OR(NOT(ISNUMBER(J85)),J85&lt;0),"ENTER TIME VALUE AS 0 OR MORE",IF(COUNTIFS('Market Days'!$A$5:$A$54,A85,'Market Days'!$B$5:$B$54,B85,'Market Days'!$I$5:$I$54,"READY")&lt;&gt;1,"FIX OR ADD MATCHING MARKET DAY","READY"))))))))))))),"FIX INVALID PRODUCT ENTRY"))</f>
        <v/>
      </c>
    </row>
    <row r="86" customFormat="false" ht="22" hidden="false" customHeight="true" outlineLevel="0" collapsed="false">
      <c r="A86" s="27"/>
      <c r="B86" s="28"/>
      <c r="C86" s="28"/>
      <c r="D86" s="28"/>
      <c r="E86" s="28"/>
      <c r="F86" s="19"/>
      <c r="G86" s="19"/>
      <c r="H86" s="19"/>
      <c r="I86" s="29"/>
      <c r="J86" s="19"/>
      <c r="K86" s="34" t="str">
        <f aca="false">IF(R86&lt;&gt;"READY","",IFERROR(ROUND((ROUND(SUMIFS('Market Days'!$C$5:$C$54,'Market Days'!$A$5:$A$54,A86,'Market Days'!$B$5:$B$54,B86,'Market Days'!$I$5:$I$54,"READY"),2)+ROUND(SUMIFS('Market Days'!$D$5:$D$54,'Market Days'!$A$5:$A$54,A86,'Market Days'!$B$5:$B$54,B86,'Market Days'!$I$5:$I$54,"READY"),2))/COUNTIFS($A$5:$A$104,A86,$B$5:$B$104,B86,$R$5:$R$104,"READY"),2),""))</f>
        <v/>
      </c>
      <c r="L86" s="34" t="str">
        <f aca="false">IF(R86&lt;&gt;"READY","",IFERROR(ROUND(ROUND(G86,2)+ROUND(H86,2)+ROUND(I86*ROUND(J86,2),2)+K86,2),""))</f>
        <v/>
      </c>
      <c r="M86" s="34" t="str">
        <f aca="false">IF(R86&lt;&gt;"READY","",IFERROR(ROUND(ROUND(F86,2)-L86,2),""))</f>
        <v/>
      </c>
      <c r="N86" s="35" t="str">
        <f aca="false">IF(R86&lt;&gt;"READY","",IFERROR(IF(ROUND(F86,2)=0,"",M86/ROUND(F86,2)),""))</f>
        <v/>
      </c>
      <c r="O86" s="35" t="str">
        <f aca="false">IF(R86&lt;&gt;"READY","",IFERROR(E86/D86,""))</f>
        <v/>
      </c>
      <c r="P86" s="34" t="str">
        <f aca="false">IF(R86&lt;&gt;"READY","",IFERROR(IF(I86=0,"",M86/I86),""))</f>
        <v/>
      </c>
      <c r="Q86" s="36" t="str">
        <f aca="false">IF(COUNTA(A86:J86)=0,"",IF(OR(R86&lt;&gt;"READY",COUNTIF(Targets!$D$5:$D$7,"READY")&lt;&gt;3),"NEEDS REVIEW",IFERROR(IF(AND(N86&lt;&gt;"",P86&lt;&gt;"",O86&lt;&gt;"",ROUND(N86,3)&gt;=ROUND(Targets!$B$5,3),ROUND(P86,2)&gt;=ROUND(Targets!$B$6,2),ROUND(O86,3)&gt;=ROUND(Targets!$B$7,3)),"MEETS TARGETS","REVIEW"),"REVIEW")))</f>
        <v/>
      </c>
      <c r="R86" s="17" t="str">
        <f aca="false">IF(COUNTA(A86:J86)=0,"",IFERROR(IF(A86="","ENTER MARKET DATE",IF(NOT(ISNUMBER(A86)),"ENTER A VALID DATE",IF(B86="","ENTER MARKET NAME",IF(C86="","ENTER PRODUCT BATCH",IF(COUNTIFS($A$5:$A$104,A86,$B$5:$B$104,B86,$C$5:$C$104,C86)&gt;1,"REMOVE DUPLICATE PRODUCT ROW",IF(OR(NOT(ISNUMBER(D86)),D86&lt;=0,D86&lt;&gt;INT(D86)),"ENTER UNITS BROUGHT AS A POSITIVE WHOLE NUMBER",IF(OR(NOT(ISNUMBER(E86)),E86&lt;0,E86&lt;&gt;INT(E86),E86&gt;D86),"CHECK WHOLE UNITS SOLD",IF(OR(NOT(ISNUMBER(F86)),F86&lt;0),"ENTER SALES AS 0 OR MORE",IF(OR(NOT(ISNUMBER(G86)),G86&lt;0),"ENTER INGREDIENT COST AS 0 OR MORE",IF(OR(NOT(ISNUMBER(H86)),H86&lt;0),"ENTER PACKAGING COST AS 0 OR MORE",IF(OR(NOT(ISNUMBER(I86)),I86&lt;0),"ENTER PRODUCT WORK HOURS AS 0 OR MORE",IF(OR(NOT(ISNUMBER(J86)),J86&lt;0),"ENTER TIME VALUE AS 0 OR MORE",IF(COUNTIFS('Market Days'!$A$5:$A$54,A86,'Market Days'!$B$5:$B$54,B86,'Market Days'!$I$5:$I$54,"READY")&lt;&gt;1,"FIX OR ADD MATCHING MARKET DAY","READY"))))))))))))),"FIX INVALID PRODUCT ENTRY"))</f>
        <v/>
      </c>
    </row>
    <row r="87" customFormat="false" ht="22" hidden="false" customHeight="true" outlineLevel="0" collapsed="false">
      <c r="A87" s="27"/>
      <c r="B87" s="28"/>
      <c r="C87" s="28"/>
      <c r="D87" s="28"/>
      <c r="E87" s="28"/>
      <c r="F87" s="19"/>
      <c r="G87" s="19"/>
      <c r="H87" s="19"/>
      <c r="I87" s="29"/>
      <c r="J87" s="19"/>
      <c r="K87" s="34" t="str">
        <f aca="false">IF(R87&lt;&gt;"READY","",IFERROR(ROUND((ROUND(SUMIFS('Market Days'!$C$5:$C$54,'Market Days'!$A$5:$A$54,A87,'Market Days'!$B$5:$B$54,B87,'Market Days'!$I$5:$I$54,"READY"),2)+ROUND(SUMIFS('Market Days'!$D$5:$D$54,'Market Days'!$A$5:$A$54,A87,'Market Days'!$B$5:$B$54,B87,'Market Days'!$I$5:$I$54,"READY"),2))/COUNTIFS($A$5:$A$104,A87,$B$5:$B$104,B87,$R$5:$R$104,"READY"),2),""))</f>
        <v/>
      </c>
      <c r="L87" s="34" t="str">
        <f aca="false">IF(R87&lt;&gt;"READY","",IFERROR(ROUND(ROUND(G87,2)+ROUND(H87,2)+ROUND(I87*ROUND(J87,2),2)+K87,2),""))</f>
        <v/>
      </c>
      <c r="M87" s="34" t="str">
        <f aca="false">IF(R87&lt;&gt;"READY","",IFERROR(ROUND(ROUND(F87,2)-L87,2),""))</f>
        <v/>
      </c>
      <c r="N87" s="35" t="str">
        <f aca="false">IF(R87&lt;&gt;"READY","",IFERROR(IF(ROUND(F87,2)=0,"",M87/ROUND(F87,2)),""))</f>
        <v/>
      </c>
      <c r="O87" s="35" t="str">
        <f aca="false">IF(R87&lt;&gt;"READY","",IFERROR(E87/D87,""))</f>
        <v/>
      </c>
      <c r="P87" s="34" t="str">
        <f aca="false">IF(R87&lt;&gt;"READY","",IFERROR(IF(I87=0,"",M87/I87),""))</f>
        <v/>
      </c>
      <c r="Q87" s="36" t="str">
        <f aca="false">IF(COUNTA(A87:J87)=0,"",IF(OR(R87&lt;&gt;"READY",COUNTIF(Targets!$D$5:$D$7,"READY")&lt;&gt;3),"NEEDS REVIEW",IFERROR(IF(AND(N87&lt;&gt;"",P87&lt;&gt;"",O87&lt;&gt;"",ROUND(N87,3)&gt;=ROUND(Targets!$B$5,3),ROUND(P87,2)&gt;=ROUND(Targets!$B$6,2),ROUND(O87,3)&gt;=ROUND(Targets!$B$7,3)),"MEETS TARGETS","REVIEW"),"REVIEW")))</f>
        <v/>
      </c>
      <c r="R87" s="17" t="str">
        <f aca="false">IF(COUNTA(A87:J87)=0,"",IFERROR(IF(A87="","ENTER MARKET DATE",IF(NOT(ISNUMBER(A87)),"ENTER A VALID DATE",IF(B87="","ENTER MARKET NAME",IF(C87="","ENTER PRODUCT BATCH",IF(COUNTIFS($A$5:$A$104,A87,$B$5:$B$104,B87,$C$5:$C$104,C87)&gt;1,"REMOVE DUPLICATE PRODUCT ROW",IF(OR(NOT(ISNUMBER(D87)),D87&lt;=0,D87&lt;&gt;INT(D87)),"ENTER UNITS BROUGHT AS A POSITIVE WHOLE NUMBER",IF(OR(NOT(ISNUMBER(E87)),E87&lt;0,E87&lt;&gt;INT(E87),E87&gt;D87),"CHECK WHOLE UNITS SOLD",IF(OR(NOT(ISNUMBER(F87)),F87&lt;0),"ENTER SALES AS 0 OR MORE",IF(OR(NOT(ISNUMBER(G87)),G87&lt;0),"ENTER INGREDIENT COST AS 0 OR MORE",IF(OR(NOT(ISNUMBER(H87)),H87&lt;0),"ENTER PACKAGING COST AS 0 OR MORE",IF(OR(NOT(ISNUMBER(I87)),I87&lt;0),"ENTER PRODUCT WORK HOURS AS 0 OR MORE",IF(OR(NOT(ISNUMBER(J87)),J87&lt;0),"ENTER TIME VALUE AS 0 OR MORE",IF(COUNTIFS('Market Days'!$A$5:$A$54,A87,'Market Days'!$B$5:$B$54,B87,'Market Days'!$I$5:$I$54,"READY")&lt;&gt;1,"FIX OR ADD MATCHING MARKET DAY","READY"))))))))))))),"FIX INVALID PRODUCT ENTRY"))</f>
        <v/>
      </c>
    </row>
    <row r="88" customFormat="false" ht="22" hidden="false" customHeight="true" outlineLevel="0" collapsed="false">
      <c r="A88" s="27"/>
      <c r="B88" s="28"/>
      <c r="C88" s="28"/>
      <c r="D88" s="28"/>
      <c r="E88" s="28"/>
      <c r="F88" s="19"/>
      <c r="G88" s="19"/>
      <c r="H88" s="19"/>
      <c r="I88" s="29"/>
      <c r="J88" s="19"/>
      <c r="K88" s="34" t="str">
        <f aca="false">IF(R88&lt;&gt;"READY","",IFERROR(ROUND((ROUND(SUMIFS('Market Days'!$C$5:$C$54,'Market Days'!$A$5:$A$54,A88,'Market Days'!$B$5:$B$54,B88,'Market Days'!$I$5:$I$54,"READY"),2)+ROUND(SUMIFS('Market Days'!$D$5:$D$54,'Market Days'!$A$5:$A$54,A88,'Market Days'!$B$5:$B$54,B88,'Market Days'!$I$5:$I$54,"READY"),2))/COUNTIFS($A$5:$A$104,A88,$B$5:$B$104,B88,$R$5:$R$104,"READY"),2),""))</f>
        <v/>
      </c>
      <c r="L88" s="34" t="str">
        <f aca="false">IF(R88&lt;&gt;"READY","",IFERROR(ROUND(ROUND(G88,2)+ROUND(H88,2)+ROUND(I88*ROUND(J88,2),2)+K88,2),""))</f>
        <v/>
      </c>
      <c r="M88" s="34" t="str">
        <f aca="false">IF(R88&lt;&gt;"READY","",IFERROR(ROUND(ROUND(F88,2)-L88,2),""))</f>
        <v/>
      </c>
      <c r="N88" s="35" t="str">
        <f aca="false">IF(R88&lt;&gt;"READY","",IFERROR(IF(ROUND(F88,2)=0,"",M88/ROUND(F88,2)),""))</f>
        <v/>
      </c>
      <c r="O88" s="35" t="str">
        <f aca="false">IF(R88&lt;&gt;"READY","",IFERROR(E88/D88,""))</f>
        <v/>
      </c>
      <c r="P88" s="34" t="str">
        <f aca="false">IF(R88&lt;&gt;"READY","",IFERROR(IF(I88=0,"",M88/I88),""))</f>
        <v/>
      </c>
      <c r="Q88" s="36" t="str">
        <f aca="false">IF(COUNTA(A88:J88)=0,"",IF(OR(R88&lt;&gt;"READY",COUNTIF(Targets!$D$5:$D$7,"READY")&lt;&gt;3),"NEEDS REVIEW",IFERROR(IF(AND(N88&lt;&gt;"",P88&lt;&gt;"",O88&lt;&gt;"",ROUND(N88,3)&gt;=ROUND(Targets!$B$5,3),ROUND(P88,2)&gt;=ROUND(Targets!$B$6,2),ROUND(O88,3)&gt;=ROUND(Targets!$B$7,3)),"MEETS TARGETS","REVIEW"),"REVIEW")))</f>
        <v/>
      </c>
      <c r="R88" s="17" t="str">
        <f aca="false">IF(COUNTA(A88:J88)=0,"",IFERROR(IF(A88="","ENTER MARKET DATE",IF(NOT(ISNUMBER(A88)),"ENTER A VALID DATE",IF(B88="","ENTER MARKET NAME",IF(C88="","ENTER PRODUCT BATCH",IF(COUNTIFS($A$5:$A$104,A88,$B$5:$B$104,B88,$C$5:$C$104,C88)&gt;1,"REMOVE DUPLICATE PRODUCT ROW",IF(OR(NOT(ISNUMBER(D88)),D88&lt;=0,D88&lt;&gt;INT(D88)),"ENTER UNITS BROUGHT AS A POSITIVE WHOLE NUMBER",IF(OR(NOT(ISNUMBER(E88)),E88&lt;0,E88&lt;&gt;INT(E88),E88&gt;D88),"CHECK WHOLE UNITS SOLD",IF(OR(NOT(ISNUMBER(F88)),F88&lt;0),"ENTER SALES AS 0 OR MORE",IF(OR(NOT(ISNUMBER(G88)),G88&lt;0),"ENTER INGREDIENT COST AS 0 OR MORE",IF(OR(NOT(ISNUMBER(H88)),H88&lt;0),"ENTER PACKAGING COST AS 0 OR MORE",IF(OR(NOT(ISNUMBER(I88)),I88&lt;0),"ENTER PRODUCT WORK HOURS AS 0 OR MORE",IF(OR(NOT(ISNUMBER(J88)),J88&lt;0),"ENTER TIME VALUE AS 0 OR MORE",IF(COUNTIFS('Market Days'!$A$5:$A$54,A88,'Market Days'!$B$5:$B$54,B88,'Market Days'!$I$5:$I$54,"READY")&lt;&gt;1,"FIX OR ADD MATCHING MARKET DAY","READY"))))))))))))),"FIX INVALID PRODUCT ENTRY"))</f>
        <v/>
      </c>
    </row>
    <row r="89" customFormat="false" ht="22" hidden="false" customHeight="true" outlineLevel="0" collapsed="false">
      <c r="A89" s="27"/>
      <c r="B89" s="28"/>
      <c r="C89" s="28"/>
      <c r="D89" s="28"/>
      <c r="E89" s="28"/>
      <c r="F89" s="19"/>
      <c r="G89" s="19"/>
      <c r="H89" s="19"/>
      <c r="I89" s="29"/>
      <c r="J89" s="19"/>
      <c r="K89" s="34" t="str">
        <f aca="false">IF(R89&lt;&gt;"READY","",IFERROR(ROUND((ROUND(SUMIFS('Market Days'!$C$5:$C$54,'Market Days'!$A$5:$A$54,A89,'Market Days'!$B$5:$B$54,B89,'Market Days'!$I$5:$I$54,"READY"),2)+ROUND(SUMIFS('Market Days'!$D$5:$D$54,'Market Days'!$A$5:$A$54,A89,'Market Days'!$B$5:$B$54,B89,'Market Days'!$I$5:$I$54,"READY"),2))/COUNTIFS($A$5:$A$104,A89,$B$5:$B$104,B89,$R$5:$R$104,"READY"),2),""))</f>
        <v/>
      </c>
      <c r="L89" s="34" t="str">
        <f aca="false">IF(R89&lt;&gt;"READY","",IFERROR(ROUND(ROUND(G89,2)+ROUND(H89,2)+ROUND(I89*ROUND(J89,2),2)+K89,2),""))</f>
        <v/>
      </c>
      <c r="M89" s="34" t="str">
        <f aca="false">IF(R89&lt;&gt;"READY","",IFERROR(ROUND(ROUND(F89,2)-L89,2),""))</f>
        <v/>
      </c>
      <c r="N89" s="35" t="str">
        <f aca="false">IF(R89&lt;&gt;"READY","",IFERROR(IF(ROUND(F89,2)=0,"",M89/ROUND(F89,2)),""))</f>
        <v/>
      </c>
      <c r="O89" s="35" t="str">
        <f aca="false">IF(R89&lt;&gt;"READY","",IFERROR(E89/D89,""))</f>
        <v/>
      </c>
      <c r="P89" s="34" t="str">
        <f aca="false">IF(R89&lt;&gt;"READY","",IFERROR(IF(I89=0,"",M89/I89),""))</f>
        <v/>
      </c>
      <c r="Q89" s="36" t="str">
        <f aca="false">IF(COUNTA(A89:J89)=0,"",IF(OR(R89&lt;&gt;"READY",COUNTIF(Targets!$D$5:$D$7,"READY")&lt;&gt;3),"NEEDS REVIEW",IFERROR(IF(AND(N89&lt;&gt;"",P89&lt;&gt;"",O89&lt;&gt;"",ROUND(N89,3)&gt;=ROUND(Targets!$B$5,3),ROUND(P89,2)&gt;=ROUND(Targets!$B$6,2),ROUND(O89,3)&gt;=ROUND(Targets!$B$7,3)),"MEETS TARGETS","REVIEW"),"REVIEW")))</f>
        <v/>
      </c>
      <c r="R89" s="17" t="str">
        <f aca="false">IF(COUNTA(A89:J89)=0,"",IFERROR(IF(A89="","ENTER MARKET DATE",IF(NOT(ISNUMBER(A89)),"ENTER A VALID DATE",IF(B89="","ENTER MARKET NAME",IF(C89="","ENTER PRODUCT BATCH",IF(COUNTIFS($A$5:$A$104,A89,$B$5:$B$104,B89,$C$5:$C$104,C89)&gt;1,"REMOVE DUPLICATE PRODUCT ROW",IF(OR(NOT(ISNUMBER(D89)),D89&lt;=0,D89&lt;&gt;INT(D89)),"ENTER UNITS BROUGHT AS A POSITIVE WHOLE NUMBER",IF(OR(NOT(ISNUMBER(E89)),E89&lt;0,E89&lt;&gt;INT(E89),E89&gt;D89),"CHECK WHOLE UNITS SOLD",IF(OR(NOT(ISNUMBER(F89)),F89&lt;0),"ENTER SALES AS 0 OR MORE",IF(OR(NOT(ISNUMBER(G89)),G89&lt;0),"ENTER INGREDIENT COST AS 0 OR MORE",IF(OR(NOT(ISNUMBER(H89)),H89&lt;0),"ENTER PACKAGING COST AS 0 OR MORE",IF(OR(NOT(ISNUMBER(I89)),I89&lt;0),"ENTER PRODUCT WORK HOURS AS 0 OR MORE",IF(OR(NOT(ISNUMBER(J89)),J89&lt;0),"ENTER TIME VALUE AS 0 OR MORE",IF(COUNTIFS('Market Days'!$A$5:$A$54,A89,'Market Days'!$B$5:$B$54,B89,'Market Days'!$I$5:$I$54,"READY")&lt;&gt;1,"FIX OR ADD MATCHING MARKET DAY","READY"))))))))))))),"FIX INVALID PRODUCT ENTRY"))</f>
        <v/>
      </c>
    </row>
    <row r="90" customFormat="false" ht="22" hidden="false" customHeight="true" outlineLevel="0" collapsed="false">
      <c r="A90" s="27"/>
      <c r="B90" s="28"/>
      <c r="C90" s="28"/>
      <c r="D90" s="28"/>
      <c r="E90" s="28"/>
      <c r="F90" s="19"/>
      <c r="G90" s="19"/>
      <c r="H90" s="19"/>
      <c r="I90" s="29"/>
      <c r="J90" s="19"/>
      <c r="K90" s="34" t="str">
        <f aca="false">IF(R90&lt;&gt;"READY","",IFERROR(ROUND((ROUND(SUMIFS('Market Days'!$C$5:$C$54,'Market Days'!$A$5:$A$54,A90,'Market Days'!$B$5:$B$54,B90,'Market Days'!$I$5:$I$54,"READY"),2)+ROUND(SUMIFS('Market Days'!$D$5:$D$54,'Market Days'!$A$5:$A$54,A90,'Market Days'!$B$5:$B$54,B90,'Market Days'!$I$5:$I$54,"READY"),2))/COUNTIFS($A$5:$A$104,A90,$B$5:$B$104,B90,$R$5:$R$104,"READY"),2),""))</f>
        <v/>
      </c>
      <c r="L90" s="34" t="str">
        <f aca="false">IF(R90&lt;&gt;"READY","",IFERROR(ROUND(ROUND(G90,2)+ROUND(H90,2)+ROUND(I90*ROUND(J90,2),2)+K90,2),""))</f>
        <v/>
      </c>
      <c r="M90" s="34" t="str">
        <f aca="false">IF(R90&lt;&gt;"READY","",IFERROR(ROUND(ROUND(F90,2)-L90,2),""))</f>
        <v/>
      </c>
      <c r="N90" s="35" t="str">
        <f aca="false">IF(R90&lt;&gt;"READY","",IFERROR(IF(ROUND(F90,2)=0,"",M90/ROUND(F90,2)),""))</f>
        <v/>
      </c>
      <c r="O90" s="35" t="str">
        <f aca="false">IF(R90&lt;&gt;"READY","",IFERROR(E90/D90,""))</f>
        <v/>
      </c>
      <c r="P90" s="34" t="str">
        <f aca="false">IF(R90&lt;&gt;"READY","",IFERROR(IF(I90=0,"",M90/I90),""))</f>
        <v/>
      </c>
      <c r="Q90" s="36" t="str">
        <f aca="false">IF(COUNTA(A90:J90)=0,"",IF(OR(R90&lt;&gt;"READY",COUNTIF(Targets!$D$5:$D$7,"READY")&lt;&gt;3),"NEEDS REVIEW",IFERROR(IF(AND(N90&lt;&gt;"",P90&lt;&gt;"",O90&lt;&gt;"",ROUND(N90,3)&gt;=ROUND(Targets!$B$5,3),ROUND(P90,2)&gt;=ROUND(Targets!$B$6,2),ROUND(O90,3)&gt;=ROUND(Targets!$B$7,3)),"MEETS TARGETS","REVIEW"),"REVIEW")))</f>
        <v/>
      </c>
      <c r="R90" s="17" t="str">
        <f aca="false">IF(COUNTA(A90:J90)=0,"",IFERROR(IF(A90="","ENTER MARKET DATE",IF(NOT(ISNUMBER(A90)),"ENTER A VALID DATE",IF(B90="","ENTER MARKET NAME",IF(C90="","ENTER PRODUCT BATCH",IF(COUNTIFS($A$5:$A$104,A90,$B$5:$B$104,B90,$C$5:$C$104,C90)&gt;1,"REMOVE DUPLICATE PRODUCT ROW",IF(OR(NOT(ISNUMBER(D90)),D90&lt;=0,D90&lt;&gt;INT(D90)),"ENTER UNITS BROUGHT AS A POSITIVE WHOLE NUMBER",IF(OR(NOT(ISNUMBER(E90)),E90&lt;0,E90&lt;&gt;INT(E90),E90&gt;D90),"CHECK WHOLE UNITS SOLD",IF(OR(NOT(ISNUMBER(F90)),F90&lt;0),"ENTER SALES AS 0 OR MORE",IF(OR(NOT(ISNUMBER(G90)),G90&lt;0),"ENTER INGREDIENT COST AS 0 OR MORE",IF(OR(NOT(ISNUMBER(H90)),H90&lt;0),"ENTER PACKAGING COST AS 0 OR MORE",IF(OR(NOT(ISNUMBER(I90)),I90&lt;0),"ENTER PRODUCT WORK HOURS AS 0 OR MORE",IF(OR(NOT(ISNUMBER(J90)),J90&lt;0),"ENTER TIME VALUE AS 0 OR MORE",IF(COUNTIFS('Market Days'!$A$5:$A$54,A90,'Market Days'!$B$5:$B$54,B90,'Market Days'!$I$5:$I$54,"READY")&lt;&gt;1,"FIX OR ADD MATCHING MARKET DAY","READY"))))))))))))),"FIX INVALID PRODUCT ENTRY"))</f>
        <v/>
      </c>
    </row>
    <row r="91" customFormat="false" ht="22" hidden="false" customHeight="true" outlineLevel="0" collapsed="false">
      <c r="A91" s="27"/>
      <c r="B91" s="28"/>
      <c r="C91" s="28"/>
      <c r="D91" s="28"/>
      <c r="E91" s="28"/>
      <c r="F91" s="19"/>
      <c r="G91" s="19"/>
      <c r="H91" s="19"/>
      <c r="I91" s="29"/>
      <c r="J91" s="19"/>
      <c r="K91" s="34" t="str">
        <f aca="false">IF(R91&lt;&gt;"READY","",IFERROR(ROUND((ROUND(SUMIFS('Market Days'!$C$5:$C$54,'Market Days'!$A$5:$A$54,A91,'Market Days'!$B$5:$B$54,B91,'Market Days'!$I$5:$I$54,"READY"),2)+ROUND(SUMIFS('Market Days'!$D$5:$D$54,'Market Days'!$A$5:$A$54,A91,'Market Days'!$B$5:$B$54,B91,'Market Days'!$I$5:$I$54,"READY"),2))/COUNTIFS($A$5:$A$104,A91,$B$5:$B$104,B91,$R$5:$R$104,"READY"),2),""))</f>
        <v/>
      </c>
      <c r="L91" s="34" t="str">
        <f aca="false">IF(R91&lt;&gt;"READY","",IFERROR(ROUND(ROUND(G91,2)+ROUND(H91,2)+ROUND(I91*ROUND(J91,2),2)+K91,2),""))</f>
        <v/>
      </c>
      <c r="M91" s="34" t="str">
        <f aca="false">IF(R91&lt;&gt;"READY","",IFERROR(ROUND(ROUND(F91,2)-L91,2),""))</f>
        <v/>
      </c>
      <c r="N91" s="35" t="str">
        <f aca="false">IF(R91&lt;&gt;"READY","",IFERROR(IF(ROUND(F91,2)=0,"",M91/ROUND(F91,2)),""))</f>
        <v/>
      </c>
      <c r="O91" s="35" t="str">
        <f aca="false">IF(R91&lt;&gt;"READY","",IFERROR(E91/D91,""))</f>
        <v/>
      </c>
      <c r="P91" s="34" t="str">
        <f aca="false">IF(R91&lt;&gt;"READY","",IFERROR(IF(I91=0,"",M91/I91),""))</f>
        <v/>
      </c>
      <c r="Q91" s="36" t="str">
        <f aca="false">IF(COUNTA(A91:J91)=0,"",IF(OR(R91&lt;&gt;"READY",COUNTIF(Targets!$D$5:$D$7,"READY")&lt;&gt;3),"NEEDS REVIEW",IFERROR(IF(AND(N91&lt;&gt;"",P91&lt;&gt;"",O91&lt;&gt;"",ROUND(N91,3)&gt;=ROUND(Targets!$B$5,3),ROUND(P91,2)&gt;=ROUND(Targets!$B$6,2),ROUND(O91,3)&gt;=ROUND(Targets!$B$7,3)),"MEETS TARGETS","REVIEW"),"REVIEW")))</f>
        <v/>
      </c>
      <c r="R91" s="17" t="str">
        <f aca="false">IF(COUNTA(A91:J91)=0,"",IFERROR(IF(A91="","ENTER MARKET DATE",IF(NOT(ISNUMBER(A91)),"ENTER A VALID DATE",IF(B91="","ENTER MARKET NAME",IF(C91="","ENTER PRODUCT BATCH",IF(COUNTIFS($A$5:$A$104,A91,$B$5:$B$104,B91,$C$5:$C$104,C91)&gt;1,"REMOVE DUPLICATE PRODUCT ROW",IF(OR(NOT(ISNUMBER(D91)),D91&lt;=0,D91&lt;&gt;INT(D91)),"ENTER UNITS BROUGHT AS A POSITIVE WHOLE NUMBER",IF(OR(NOT(ISNUMBER(E91)),E91&lt;0,E91&lt;&gt;INT(E91),E91&gt;D91),"CHECK WHOLE UNITS SOLD",IF(OR(NOT(ISNUMBER(F91)),F91&lt;0),"ENTER SALES AS 0 OR MORE",IF(OR(NOT(ISNUMBER(G91)),G91&lt;0),"ENTER INGREDIENT COST AS 0 OR MORE",IF(OR(NOT(ISNUMBER(H91)),H91&lt;0),"ENTER PACKAGING COST AS 0 OR MORE",IF(OR(NOT(ISNUMBER(I91)),I91&lt;0),"ENTER PRODUCT WORK HOURS AS 0 OR MORE",IF(OR(NOT(ISNUMBER(J91)),J91&lt;0),"ENTER TIME VALUE AS 0 OR MORE",IF(COUNTIFS('Market Days'!$A$5:$A$54,A91,'Market Days'!$B$5:$B$54,B91,'Market Days'!$I$5:$I$54,"READY")&lt;&gt;1,"FIX OR ADD MATCHING MARKET DAY","READY"))))))))))))),"FIX INVALID PRODUCT ENTRY"))</f>
        <v/>
      </c>
    </row>
    <row r="92" customFormat="false" ht="22" hidden="false" customHeight="true" outlineLevel="0" collapsed="false">
      <c r="A92" s="27"/>
      <c r="B92" s="28"/>
      <c r="C92" s="28"/>
      <c r="D92" s="28"/>
      <c r="E92" s="28"/>
      <c r="F92" s="19"/>
      <c r="G92" s="19"/>
      <c r="H92" s="19"/>
      <c r="I92" s="29"/>
      <c r="J92" s="19"/>
      <c r="K92" s="34" t="str">
        <f aca="false">IF(R92&lt;&gt;"READY","",IFERROR(ROUND((ROUND(SUMIFS('Market Days'!$C$5:$C$54,'Market Days'!$A$5:$A$54,A92,'Market Days'!$B$5:$B$54,B92,'Market Days'!$I$5:$I$54,"READY"),2)+ROUND(SUMIFS('Market Days'!$D$5:$D$54,'Market Days'!$A$5:$A$54,A92,'Market Days'!$B$5:$B$54,B92,'Market Days'!$I$5:$I$54,"READY"),2))/COUNTIFS($A$5:$A$104,A92,$B$5:$B$104,B92,$R$5:$R$104,"READY"),2),""))</f>
        <v/>
      </c>
      <c r="L92" s="34" t="str">
        <f aca="false">IF(R92&lt;&gt;"READY","",IFERROR(ROUND(ROUND(G92,2)+ROUND(H92,2)+ROUND(I92*ROUND(J92,2),2)+K92,2),""))</f>
        <v/>
      </c>
      <c r="M92" s="34" t="str">
        <f aca="false">IF(R92&lt;&gt;"READY","",IFERROR(ROUND(ROUND(F92,2)-L92,2),""))</f>
        <v/>
      </c>
      <c r="N92" s="35" t="str">
        <f aca="false">IF(R92&lt;&gt;"READY","",IFERROR(IF(ROUND(F92,2)=0,"",M92/ROUND(F92,2)),""))</f>
        <v/>
      </c>
      <c r="O92" s="35" t="str">
        <f aca="false">IF(R92&lt;&gt;"READY","",IFERROR(E92/D92,""))</f>
        <v/>
      </c>
      <c r="P92" s="34" t="str">
        <f aca="false">IF(R92&lt;&gt;"READY","",IFERROR(IF(I92=0,"",M92/I92),""))</f>
        <v/>
      </c>
      <c r="Q92" s="36" t="str">
        <f aca="false">IF(COUNTA(A92:J92)=0,"",IF(OR(R92&lt;&gt;"READY",COUNTIF(Targets!$D$5:$D$7,"READY")&lt;&gt;3),"NEEDS REVIEW",IFERROR(IF(AND(N92&lt;&gt;"",P92&lt;&gt;"",O92&lt;&gt;"",ROUND(N92,3)&gt;=ROUND(Targets!$B$5,3),ROUND(P92,2)&gt;=ROUND(Targets!$B$6,2),ROUND(O92,3)&gt;=ROUND(Targets!$B$7,3)),"MEETS TARGETS","REVIEW"),"REVIEW")))</f>
        <v/>
      </c>
      <c r="R92" s="17" t="str">
        <f aca="false">IF(COUNTA(A92:J92)=0,"",IFERROR(IF(A92="","ENTER MARKET DATE",IF(NOT(ISNUMBER(A92)),"ENTER A VALID DATE",IF(B92="","ENTER MARKET NAME",IF(C92="","ENTER PRODUCT BATCH",IF(COUNTIFS($A$5:$A$104,A92,$B$5:$B$104,B92,$C$5:$C$104,C92)&gt;1,"REMOVE DUPLICATE PRODUCT ROW",IF(OR(NOT(ISNUMBER(D92)),D92&lt;=0,D92&lt;&gt;INT(D92)),"ENTER UNITS BROUGHT AS A POSITIVE WHOLE NUMBER",IF(OR(NOT(ISNUMBER(E92)),E92&lt;0,E92&lt;&gt;INT(E92),E92&gt;D92),"CHECK WHOLE UNITS SOLD",IF(OR(NOT(ISNUMBER(F92)),F92&lt;0),"ENTER SALES AS 0 OR MORE",IF(OR(NOT(ISNUMBER(G92)),G92&lt;0),"ENTER INGREDIENT COST AS 0 OR MORE",IF(OR(NOT(ISNUMBER(H92)),H92&lt;0),"ENTER PACKAGING COST AS 0 OR MORE",IF(OR(NOT(ISNUMBER(I92)),I92&lt;0),"ENTER PRODUCT WORK HOURS AS 0 OR MORE",IF(OR(NOT(ISNUMBER(J92)),J92&lt;0),"ENTER TIME VALUE AS 0 OR MORE",IF(COUNTIFS('Market Days'!$A$5:$A$54,A92,'Market Days'!$B$5:$B$54,B92,'Market Days'!$I$5:$I$54,"READY")&lt;&gt;1,"FIX OR ADD MATCHING MARKET DAY","READY"))))))))))))),"FIX INVALID PRODUCT ENTRY"))</f>
        <v/>
      </c>
    </row>
    <row r="93" customFormat="false" ht="22" hidden="false" customHeight="true" outlineLevel="0" collapsed="false">
      <c r="A93" s="27"/>
      <c r="B93" s="28"/>
      <c r="C93" s="28"/>
      <c r="D93" s="28"/>
      <c r="E93" s="28"/>
      <c r="F93" s="19"/>
      <c r="G93" s="19"/>
      <c r="H93" s="19"/>
      <c r="I93" s="29"/>
      <c r="J93" s="19"/>
      <c r="K93" s="34" t="str">
        <f aca="false">IF(R93&lt;&gt;"READY","",IFERROR(ROUND((ROUND(SUMIFS('Market Days'!$C$5:$C$54,'Market Days'!$A$5:$A$54,A93,'Market Days'!$B$5:$B$54,B93,'Market Days'!$I$5:$I$54,"READY"),2)+ROUND(SUMIFS('Market Days'!$D$5:$D$54,'Market Days'!$A$5:$A$54,A93,'Market Days'!$B$5:$B$54,B93,'Market Days'!$I$5:$I$54,"READY"),2))/COUNTIFS($A$5:$A$104,A93,$B$5:$B$104,B93,$R$5:$R$104,"READY"),2),""))</f>
        <v/>
      </c>
      <c r="L93" s="34" t="str">
        <f aca="false">IF(R93&lt;&gt;"READY","",IFERROR(ROUND(ROUND(G93,2)+ROUND(H93,2)+ROUND(I93*ROUND(J93,2),2)+K93,2),""))</f>
        <v/>
      </c>
      <c r="M93" s="34" t="str">
        <f aca="false">IF(R93&lt;&gt;"READY","",IFERROR(ROUND(ROUND(F93,2)-L93,2),""))</f>
        <v/>
      </c>
      <c r="N93" s="35" t="str">
        <f aca="false">IF(R93&lt;&gt;"READY","",IFERROR(IF(ROUND(F93,2)=0,"",M93/ROUND(F93,2)),""))</f>
        <v/>
      </c>
      <c r="O93" s="35" t="str">
        <f aca="false">IF(R93&lt;&gt;"READY","",IFERROR(E93/D93,""))</f>
        <v/>
      </c>
      <c r="P93" s="34" t="str">
        <f aca="false">IF(R93&lt;&gt;"READY","",IFERROR(IF(I93=0,"",M93/I93),""))</f>
        <v/>
      </c>
      <c r="Q93" s="36" t="str">
        <f aca="false">IF(COUNTA(A93:J93)=0,"",IF(OR(R93&lt;&gt;"READY",COUNTIF(Targets!$D$5:$D$7,"READY")&lt;&gt;3),"NEEDS REVIEW",IFERROR(IF(AND(N93&lt;&gt;"",P93&lt;&gt;"",O93&lt;&gt;"",ROUND(N93,3)&gt;=ROUND(Targets!$B$5,3),ROUND(P93,2)&gt;=ROUND(Targets!$B$6,2),ROUND(O93,3)&gt;=ROUND(Targets!$B$7,3)),"MEETS TARGETS","REVIEW"),"REVIEW")))</f>
        <v/>
      </c>
      <c r="R93" s="17" t="str">
        <f aca="false">IF(COUNTA(A93:J93)=0,"",IFERROR(IF(A93="","ENTER MARKET DATE",IF(NOT(ISNUMBER(A93)),"ENTER A VALID DATE",IF(B93="","ENTER MARKET NAME",IF(C93="","ENTER PRODUCT BATCH",IF(COUNTIFS($A$5:$A$104,A93,$B$5:$B$104,B93,$C$5:$C$104,C93)&gt;1,"REMOVE DUPLICATE PRODUCT ROW",IF(OR(NOT(ISNUMBER(D93)),D93&lt;=0,D93&lt;&gt;INT(D93)),"ENTER UNITS BROUGHT AS A POSITIVE WHOLE NUMBER",IF(OR(NOT(ISNUMBER(E93)),E93&lt;0,E93&lt;&gt;INT(E93),E93&gt;D93),"CHECK WHOLE UNITS SOLD",IF(OR(NOT(ISNUMBER(F93)),F93&lt;0),"ENTER SALES AS 0 OR MORE",IF(OR(NOT(ISNUMBER(G93)),G93&lt;0),"ENTER INGREDIENT COST AS 0 OR MORE",IF(OR(NOT(ISNUMBER(H93)),H93&lt;0),"ENTER PACKAGING COST AS 0 OR MORE",IF(OR(NOT(ISNUMBER(I93)),I93&lt;0),"ENTER PRODUCT WORK HOURS AS 0 OR MORE",IF(OR(NOT(ISNUMBER(J93)),J93&lt;0),"ENTER TIME VALUE AS 0 OR MORE",IF(COUNTIFS('Market Days'!$A$5:$A$54,A93,'Market Days'!$B$5:$B$54,B93,'Market Days'!$I$5:$I$54,"READY")&lt;&gt;1,"FIX OR ADD MATCHING MARKET DAY","READY"))))))))))))),"FIX INVALID PRODUCT ENTRY"))</f>
        <v/>
      </c>
    </row>
    <row r="94" customFormat="false" ht="22" hidden="false" customHeight="true" outlineLevel="0" collapsed="false">
      <c r="A94" s="27"/>
      <c r="B94" s="28"/>
      <c r="C94" s="28"/>
      <c r="D94" s="28"/>
      <c r="E94" s="28"/>
      <c r="F94" s="19"/>
      <c r="G94" s="19"/>
      <c r="H94" s="19"/>
      <c r="I94" s="29"/>
      <c r="J94" s="19"/>
      <c r="K94" s="34" t="str">
        <f aca="false">IF(R94&lt;&gt;"READY","",IFERROR(ROUND((ROUND(SUMIFS('Market Days'!$C$5:$C$54,'Market Days'!$A$5:$A$54,A94,'Market Days'!$B$5:$B$54,B94,'Market Days'!$I$5:$I$54,"READY"),2)+ROUND(SUMIFS('Market Days'!$D$5:$D$54,'Market Days'!$A$5:$A$54,A94,'Market Days'!$B$5:$B$54,B94,'Market Days'!$I$5:$I$54,"READY"),2))/COUNTIFS($A$5:$A$104,A94,$B$5:$B$104,B94,$R$5:$R$104,"READY"),2),""))</f>
        <v/>
      </c>
      <c r="L94" s="34" t="str">
        <f aca="false">IF(R94&lt;&gt;"READY","",IFERROR(ROUND(ROUND(G94,2)+ROUND(H94,2)+ROUND(I94*ROUND(J94,2),2)+K94,2),""))</f>
        <v/>
      </c>
      <c r="M94" s="34" t="str">
        <f aca="false">IF(R94&lt;&gt;"READY","",IFERROR(ROUND(ROUND(F94,2)-L94,2),""))</f>
        <v/>
      </c>
      <c r="N94" s="35" t="str">
        <f aca="false">IF(R94&lt;&gt;"READY","",IFERROR(IF(ROUND(F94,2)=0,"",M94/ROUND(F94,2)),""))</f>
        <v/>
      </c>
      <c r="O94" s="35" t="str">
        <f aca="false">IF(R94&lt;&gt;"READY","",IFERROR(E94/D94,""))</f>
        <v/>
      </c>
      <c r="P94" s="34" t="str">
        <f aca="false">IF(R94&lt;&gt;"READY","",IFERROR(IF(I94=0,"",M94/I94),""))</f>
        <v/>
      </c>
      <c r="Q94" s="36" t="str">
        <f aca="false">IF(COUNTA(A94:J94)=0,"",IF(OR(R94&lt;&gt;"READY",COUNTIF(Targets!$D$5:$D$7,"READY")&lt;&gt;3),"NEEDS REVIEW",IFERROR(IF(AND(N94&lt;&gt;"",P94&lt;&gt;"",O94&lt;&gt;"",ROUND(N94,3)&gt;=ROUND(Targets!$B$5,3),ROUND(P94,2)&gt;=ROUND(Targets!$B$6,2),ROUND(O94,3)&gt;=ROUND(Targets!$B$7,3)),"MEETS TARGETS","REVIEW"),"REVIEW")))</f>
        <v/>
      </c>
      <c r="R94" s="17" t="str">
        <f aca="false">IF(COUNTA(A94:J94)=0,"",IFERROR(IF(A94="","ENTER MARKET DATE",IF(NOT(ISNUMBER(A94)),"ENTER A VALID DATE",IF(B94="","ENTER MARKET NAME",IF(C94="","ENTER PRODUCT BATCH",IF(COUNTIFS($A$5:$A$104,A94,$B$5:$B$104,B94,$C$5:$C$104,C94)&gt;1,"REMOVE DUPLICATE PRODUCT ROW",IF(OR(NOT(ISNUMBER(D94)),D94&lt;=0,D94&lt;&gt;INT(D94)),"ENTER UNITS BROUGHT AS A POSITIVE WHOLE NUMBER",IF(OR(NOT(ISNUMBER(E94)),E94&lt;0,E94&lt;&gt;INT(E94),E94&gt;D94),"CHECK WHOLE UNITS SOLD",IF(OR(NOT(ISNUMBER(F94)),F94&lt;0),"ENTER SALES AS 0 OR MORE",IF(OR(NOT(ISNUMBER(G94)),G94&lt;0),"ENTER INGREDIENT COST AS 0 OR MORE",IF(OR(NOT(ISNUMBER(H94)),H94&lt;0),"ENTER PACKAGING COST AS 0 OR MORE",IF(OR(NOT(ISNUMBER(I94)),I94&lt;0),"ENTER PRODUCT WORK HOURS AS 0 OR MORE",IF(OR(NOT(ISNUMBER(J94)),J94&lt;0),"ENTER TIME VALUE AS 0 OR MORE",IF(COUNTIFS('Market Days'!$A$5:$A$54,A94,'Market Days'!$B$5:$B$54,B94,'Market Days'!$I$5:$I$54,"READY")&lt;&gt;1,"FIX OR ADD MATCHING MARKET DAY","READY"))))))))))))),"FIX INVALID PRODUCT ENTRY"))</f>
        <v/>
      </c>
    </row>
    <row r="95" customFormat="false" ht="22" hidden="false" customHeight="true" outlineLevel="0" collapsed="false">
      <c r="A95" s="27"/>
      <c r="B95" s="28"/>
      <c r="C95" s="28"/>
      <c r="D95" s="28"/>
      <c r="E95" s="28"/>
      <c r="F95" s="19"/>
      <c r="G95" s="19"/>
      <c r="H95" s="19"/>
      <c r="I95" s="29"/>
      <c r="J95" s="19"/>
      <c r="K95" s="34" t="str">
        <f aca="false">IF(R95&lt;&gt;"READY","",IFERROR(ROUND((ROUND(SUMIFS('Market Days'!$C$5:$C$54,'Market Days'!$A$5:$A$54,A95,'Market Days'!$B$5:$B$54,B95,'Market Days'!$I$5:$I$54,"READY"),2)+ROUND(SUMIFS('Market Days'!$D$5:$D$54,'Market Days'!$A$5:$A$54,A95,'Market Days'!$B$5:$B$54,B95,'Market Days'!$I$5:$I$54,"READY"),2))/COUNTIFS($A$5:$A$104,A95,$B$5:$B$104,B95,$R$5:$R$104,"READY"),2),""))</f>
        <v/>
      </c>
      <c r="L95" s="34" t="str">
        <f aca="false">IF(R95&lt;&gt;"READY","",IFERROR(ROUND(ROUND(G95,2)+ROUND(H95,2)+ROUND(I95*ROUND(J95,2),2)+K95,2),""))</f>
        <v/>
      </c>
      <c r="M95" s="34" t="str">
        <f aca="false">IF(R95&lt;&gt;"READY","",IFERROR(ROUND(ROUND(F95,2)-L95,2),""))</f>
        <v/>
      </c>
      <c r="N95" s="35" t="str">
        <f aca="false">IF(R95&lt;&gt;"READY","",IFERROR(IF(ROUND(F95,2)=0,"",M95/ROUND(F95,2)),""))</f>
        <v/>
      </c>
      <c r="O95" s="35" t="str">
        <f aca="false">IF(R95&lt;&gt;"READY","",IFERROR(E95/D95,""))</f>
        <v/>
      </c>
      <c r="P95" s="34" t="str">
        <f aca="false">IF(R95&lt;&gt;"READY","",IFERROR(IF(I95=0,"",M95/I95),""))</f>
        <v/>
      </c>
      <c r="Q95" s="36" t="str">
        <f aca="false">IF(COUNTA(A95:J95)=0,"",IF(OR(R95&lt;&gt;"READY",COUNTIF(Targets!$D$5:$D$7,"READY")&lt;&gt;3),"NEEDS REVIEW",IFERROR(IF(AND(N95&lt;&gt;"",P95&lt;&gt;"",O95&lt;&gt;"",ROUND(N95,3)&gt;=ROUND(Targets!$B$5,3),ROUND(P95,2)&gt;=ROUND(Targets!$B$6,2),ROUND(O95,3)&gt;=ROUND(Targets!$B$7,3)),"MEETS TARGETS","REVIEW"),"REVIEW")))</f>
        <v/>
      </c>
      <c r="R95" s="17" t="str">
        <f aca="false">IF(COUNTA(A95:J95)=0,"",IFERROR(IF(A95="","ENTER MARKET DATE",IF(NOT(ISNUMBER(A95)),"ENTER A VALID DATE",IF(B95="","ENTER MARKET NAME",IF(C95="","ENTER PRODUCT BATCH",IF(COUNTIFS($A$5:$A$104,A95,$B$5:$B$104,B95,$C$5:$C$104,C95)&gt;1,"REMOVE DUPLICATE PRODUCT ROW",IF(OR(NOT(ISNUMBER(D95)),D95&lt;=0,D95&lt;&gt;INT(D95)),"ENTER UNITS BROUGHT AS A POSITIVE WHOLE NUMBER",IF(OR(NOT(ISNUMBER(E95)),E95&lt;0,E95&lt;&gt;INT(E95),E95&gt;D95),"CHECK WHOLE UNITS SOLD",IF(OR(NOT(ISNUMBER(F95)),F95&lt;0),"ENTER SALES AS 0 OR MORE",IF(OR(NOT(ISNUMBER(G95)),G95&lt;0),"ENTER INGREDIENT COST AS 0 OR MORE",IF(OR(NOT(ISNUMBER(H95)),H95&lt;0),"ENTER PACKAGING COST AS 0 OR MORE",IF(OR(NOT(ISNUMBER(I95)),I95&lt;0),"ENTER PRODUCT WORK HOURS AS 0 OR MORE",IF(OR(NOT(ISNUMBER(J95)),J95&lt;0),"ENTER TIME VALUE AS 0 OR MORE",IF(COUNTIFS('Market Days'!$A$5:$A$54,A95,'Market Days'!$B$5:$B$54,B95,'Market Days'!$I$5:$I$54,"READY")&lt;&gt;1,"FIX OR ADD MATCHING MARKET DAY","READY"))))))))))))),"FIX INVALID PRODUCT ENTRY"))</f>
        <v/>
      </c>
    </row>
    <row r="96" customFormat="false" ht="22" hidden="false" customHeight="true" outlineLevel="0" collapsed="false">
      <c r="A96" s="27"/>
      <c r="B96" s="28"/>
      <c r="C96" s="28"/>
      <c r="D96" s="28"/>
      <c r="E96" s="28"/>
      <c r="F96" s="19"/>
      <c r="G96" s="19"/>
      <c r="H96" s="19"/>
      <c r="I96" s="29"/>
      <c r="J96" s="19"/>
      <c r="K96" s="34" t="str">
        <f aca="false">IF(R96&lt;&gt;"READY","",IFERROR(ROUND((ROUND(SUMIFS('Market Days'!$C$5:$C$54,'Market Days'!$A$5:$A$54,A96,'Market Days'!$B$5:$B$54,B96,'Market Days'!$I$5:$I$54,"READY"),2)+ROUND(SUMIFS('Market Days'!$D$5:$D$54,'Market Days'!$A$5:$A$54,A96,'Market Days'!$B$5:$B$54,B96,'Market Days'!$I$5:$I$54,"READY"),2))/COUNTIFS($A$5:$A$104,A96,$B$5:$B$104,B96,$R$5:$R$104,"READY"),2),""))</f>
        <v/>
      </c>
      <c r="L96" s="34" t="str">
        <f aca="false">IF(R96&lt;&gt;"READY","",IFERROR(ROUND(ROUND(G96,2)+ROUND(H96,2)+ROUND(I96*ROUND(J96,2),2)+K96,2),""))</f>
        <v/>
      </c>
      <c r="M96" s="34" t="str">
        <f aca="false">IF(R96&lt;&gt;"READY","",IFERROR(ROUND(ROUND(F96,2)-L96,2),""))</f>
        <v/>
      </c>
      <c r="N96" s="35" t="str">
        <f aca="false">IF(R96&lt;&gt;"READY","",IFERROR(IF(ROUND(F96,2)=0,"",M96/ROUND(F96,2)),""))</f>
        <v/>
      </c>
      <c r="O96" s="35" t="str">
        <f aca="false">IF(R96&lt;&gt;"READY","",IFERROR(E96/D96,""))</f>
        <v/>
      </c>
      <c r="P96" s="34" t="str">
        <f aca="false">IF(R96&lt;&gt;"READY","",IFERROR(IF(I96=0,"",M96/I96),""))</f>
        <v/>
      </c>
      <c r="Q96" s="36" t="str">
        <f aca="false">IF(COUNTA(A96:J96)=0,"",IF(OR(R96&lt;&gt;"READY",COUNTIF(Targets!$D$5:$D$7,"READY")&lt;&gt;3),"NEEDS REVIEW",IFERROR(IF(AND(N96&lt;&gt;"",P96&lt;&gt;"",O96&lt;&gt;"",ROUND(N96,3)&gt;=ROUND(Targets!$B$5,3),ROUND(P96,2)&gt;=ROUND(Targets!$B$6,2),ROUND(O96,3)&gt;=ROUND(Targets!$B$7,3)),"MEETS TARGETS","REVIEW"),"REVIEW")))</f>
        <v/>
      </c>
      <c r="R96" s="17" t="str">
        <f aca="false">IF(COUNTA(A96:J96)=0,"",IFERROR(IF(A96="","ENTER MARKET DATE",IF(NOT(ISNUMBER(A96)),"ENTER A VALID DATE",IF(B96="","ENTER MARKET NAME",IF(C96="","ENTER PRODUCT BATCH",IF(COUNTIFS($A$5:$A$104,A96,$B$5:$B$104,B96,$C$5:$C$104,C96)&gt;1,"REMOVE DUPLICATE PRODUCT ROW",IF(OR(NOT(ISNUMBER(D96)),D96&lt;=0,D96&lt;&gt;INT(D96)),"ENTER UNITS BROUGHT AS A POSITIVE WHOLE NUMBER",IF(OR(NOT(ISNUMBER(E96)),E96&lt;0,E96&lt;&gt;INT(E96),E96&gt;D96),"CHECK WHOLE UNITS SOLD",IF(OR(NOT(ISNUMBER(F96)),F96&lt;0),"ENTER SALES AS 0 OR MORE",IF(OR(NOT(ISNUMBER(G96)),G96&lt;0),"ENTER INGREDIENT COST AS 0 OR MORE",IF(OR(NOT(ISNUMBER(H96)),H96&lt;0),"ENTER PACKAGING COST AS 0 OR MORE",IF(OR(NOT(ISNUMBER(I96)),I96&lt;0),"ENTER PRODUCT WORK HOURS AS 0 OR MORE",IF(OR(NOT(ISNUMBER(J96)),J96&lt;0),"ENTER TIME VALUE AS 0 OR MORE",IF(COUNTIFS('Market Days'!$A$5:$A$54,A96,'Market Days'!$B$5:$B$54,B96,'Market Days'!$I$5:$I$54,"READY")&lt;&gt;1,"FIX OR ADD MATCHING MARKET DAY","READY"))))))))))))),"FIX INVALID PRODUCT ENTRY"))</f>
        <v/>
      </c>
    </row>
    <row r="97" customFormat="false" ht="22" hidden="false" customHeight="true" outlineLevel="0" collapsed="false">
      <c r="A97" s="27"/>
      <c r="B97" s="28"/>
      <c r="C97" s="28"/>
      <c r="D97" s="28"/>
      <c r="E97" s="28"/>
      <c r="F97" s="19"/>
      <c r="G97" s="19"/>
      <c r="H97" s="19"/>
      <c r="I97" s="29"/>
      <c r="J97" s="19"/>
      <c r="K97" s="34" t="str">
        <f aca="false">IF(R97&lt;&gt;"READY","",IFERROR(ROUND((ROUND(SUMIFS('Market Days'!$C$5:$C$54,'Market Days'!$A$5:$A$54,A97,'Market Days'!$B$5:$B$54,B97,'Market Days'!$I$5:$I$54,"READY"),2)+ROUND(SUMIFS('Market Days'!$D$5:$D$54,'Market Days'!$A$5:$A$54,A97,'Market Days'!$B$5:$B$54,B97,'Market Days'!$I$5:$I$54,"READY"),2))/COUNTIFS($A$5:$A$104,A97,$B$5:$B$104,B97,$R$5:$R$104,"READY"),2),""))</f>
        <v/>
      </c>
      <c r="L97" s="34" t="str">
        <f aca="false">IF(R97&lt;&gt;"READY","",IFERROR(ROUND(ROUND(G97,2)+ROUND(H97,2)+ROUND(I97*ROUND(J97,2),2)+K97,2),""))</f>
        <v/>
      </c>
      <c r="M97" s="34" t="str">
        <f aca="false">IF(R97&lt;&gt;"READY","",IFERROR(ROUND(ROUND(F97,2)-L97,2),""))</f>
        <v/>
      </c>
      <c r="N97" s="35" t="str">
        <f aca="false">IF(R97&lt;&gt;"READY","",IFERROR(IF(ROUND(F97,2)=0,"",M97/ROUND(F97,2)),""))</f>
        <v/>
      </c>
      <c r="O97" s="35" t="str">
        <f aca="false">IF(R97&lt;&gt;"READY","",IFERROR(E97/D97,""))</f>
        <v/>
      </c>
      <c r="P97" s="34" t="str">
        <f aca="false">IF(R97&lt;&gt;"READY","",IFERROR(IF(I97=0,"",M97/I97),""))</f>
        <v/>
      </c>
      <c r="Q97" s="36" t="str">
        <f aca="false">IF(COUNTA(A97:J97)=0,"",IF(OR(R97&lt;&gt;"READY",COUNTIF(Targets!$D$5:$D$7,"READY")&lt;&gt;3),"NEEDS REVIEW",IFERROR(IF(AND(N97&lt;&gt;"",P97&lt;&gt;"",O97&lt;&gt;"",ROUND(N97,3)&gt;=ROUND(Targets!$B$5,3),ROUND(P97,2)&gt;=ROUND(Targets!$B$6,2),ROUND(O97,3)&gt;=ROUND(Targets!$B$7,3)),"MEETS TARGETS","REVIEW"),"REVIEW")))</f>
        <v/>
      </c>
      <c r="R97" s="17" t="str">
        <f aca="false">IF(COUNTA(A97:J97)=0,"",IFERROR(IF(A97="","ENTER MARKET DATE",IF(NOT(ISNUMBER(A97)),"ENTER A VALID DATE",IF(B97="","ENTER MARKET NAME",IF(C97="","ENTER PRODUCT BATCH",IF(COUNTIFS($A$5:$A$104,A97,$B$5:$B$104,B97,$C$5:$C$104,C97)&gt;1,"REMOVE DUPLICATE PRODUCT ROW",IF(OR(NOT(ISNUMBER(D97)),D97&lt;=0,D97&lt;&gt;INT(D97)),"ENTER UNITS BROUGHT AS A POSITIVE WHOLE NUMBER",IF(OR(NOT(ISNUMBER(E97)),E97&lt;0,E97&lt;&gt;INT(E97),E97&gt;D97),"CHECK WHOLE UNITS SOLD",IF(OR(NOT(ISNUMBER(F97)),F97&lt;0),"ENTER SALES AS 0 OR MORE",IF(OR(NOT(ISNUMBER(G97)),G97&lt;0),"ENTER INGREDIENT COST AS 0 OR MORE",IF(OR(NOT(ISNUMBER(H97)),H97&lt;0),"ENTER PACKAGING COST AS 0 OR MORE",IF(OR(NOT(ISNUMBER(I97)),I97&lt;0),"ENTER PRODUCT WORK HOURS AS 0 OR MORE",IF(OR(NOT(ISNUMBER(J97)),J97&lt;0),"ENTER TIME VALUE AS 0 OR MORE",IF(COUNTIFS('Market Days'!$A$5:$A$54,A97,'Market Days'!$B$5:$B$54,B97,'Market Days'!$I$5:$I$54,"READY")&lt;&gt;1,"FIX OR ADD MATCHING MARKET DAY","READY"))))))))))))),"FIX INVALID PRODUCT ENTRY"))</f>
        <v/>
      </c>
    </row>
    <row r="98" customFormat="false" ht="22" hidden="false" customHeight="true" outlineLevel="0" collapsed="false">
      <c r="A98" s="27"/>
      <c r="B98" s="28"/>
      <c r="C98" s="28"/>
      <c r="D98" s="28"/>
      <c r="E98" s="28"/>
      <c r="F98" s="19"/>
      <c r="G98" s="19"/>
      <c r="H98" s="19"/>
      <c r="I98" s="29"/>
      <c r="J98" s="19"/>
      <c r="K98" s="34" t="str">
        <f aca="false">IF(R98&lt;&gt;"READY","",IFERROR(ROUND((ROUND(SUMIFS('Market Days'!$C$5:$C$54,'Market Days'!$A$5:$A$54,A98,'Market Days'!$B$5:$B$54,B98,'Market Days'!$I$5:$I$54,"READY"),2)+ROUND(SUMIFS('Market Days'!$D$5:$D$54,'Market Days'!$A$5:$A$54,A98,'Market Days'!$B$5:$B$54,B98,'Market Days'!$I$5:$I$54,"READY"),2))/COUNTIFS($A$5:$A$104,A98,$B$5:$B$104,B98,$R$5:$R$104,"READY"),2),""))</f>
        <v/>
      </c>
      <c r="L98" s="34" t="str">
        <f aca="false">IF(R98&lt;&gt;"READY","",IFERROR(ROUND(ROUND(G98,2)+ROUND(H98,2)+ROUND(I98*ROUND(J98,2),2)+K98,2),""))</f>
        <v/>
      </c>
      <c r="M98" s="34" t="str">
        <f aca="false">IF(R98&lt;&gt;"READY","",IFERROR(ROUND(ROUND(F98,2)-L98,2),""))</f>
        <v/>
      </c>
      <c r="N98" s="35" t="str">
        <f aca="false">IF(R98&lt;&gt;"READY","",IFERROR(IF(ROUND(F98,2)=0,"",M98/ROUND(F98,2)),""))</f>
        <v/>
      </c>
      <c r="O98" s="35" t="str">
        <f aca="false">IF(R98&lt;&gt;"READY","",IFERROR(E98/D98,""))</f>
        <v/>
      </c>
      <c r="P98" s="34" t="str">
        <f aca="false">IF(R98&lt;&gt;"READY","",IFERROR(IF(I98=0,"",M98/I98),""))</f>
        <v/>
      </c>
      <c r="Q98" s="36" t="str">
        <f aca="false">IF(COUNTA(A98:J98)=0,"",IF(OR(R98&lt;&gt;"READY",COUNTIF(Targets!$D$5:$D$7,"READY")&lt;&gt;3),"NEEDS REVIEW",IFERROR(IF(AND(N98&lt;&gt;"",P98&lt;&gt;"",O98&lt;&gt;"",ROUND(N98,3)&gt;=ROUND(Targets!$B$5,3),ROUND(P98,2)&gt;=ROUND(Targets!$B$6,2),ROUND(O98,3)&gt;=ROUND(Targets!$B$7,3)),"MEETS TARGETS","REVIEW"),"REVIEW")))</f>
        <v/>
      </c>
      <c r="R98" s="17" t="str">
        <f aca="false">IF(COUNTA(A98:J98)=0,"",IFERROR(IF(A98="","ENTER MARKET DATE",IF(NOT(ISNUMBER(A98)),"ENTER A VALID DATE",IF(B98="","ENTER MARKET NAME",IF(C98="","ENTER PRODUCT BATCH",IF(COUNTIFS($A$5:$A$104,A98,$B$5:$B$104,B98,$C$5:$C$104,C98)&gt;1,"REMOVE DUPLICATE PRODUCT ROW",IF(OR(NOT(ISNUMBER(D98)),D98&lt;=0,D98&lt;&gt;INT(D98)),"ENTER UNITS BROUGHT AS A POSITIVE WHOLE NUMBER",IF(OR(NOT(ISNUMBER(E98)),E98&lt;0,E98&lt;&gt;INT(E98),E98&gt;D98),"CHECK WHOLE UNITS SOLD",IF(OR(NOT(ISNUMBER(F98)),F98&lt;0),"ENTER SALES AS 0 OR MORE",IF(OR(NOT(ISNUMBER(G98)),G98&lt;0),"ENTER INGREDIENT COST AS 0 OR MORE",IF(OR(NOT(ISNUMBER(H98)),H98&lt;0),"ENTER PACKAGING COST AS 0 OR MORE",IF(OR(NOT(ISNUMBER(I98)),I98&lt;0),"ENTER PRODUCT WORK HOURS AS 0 OR MORE",IF(OR(NOT(ISNUMBER(J98)),J98&lt;0),"ENTER TIME VALUE AS 0 OR MORE",IF(COUNTIFS('Market Days'!$A$5:$A$54,A98,'Market Days'!$B$5:$B$54,B98,'Market Days'!$I$5:$I$54,"READY")&lt;&gt;1,"FIX OR ADD MATCHING MARKET DAY","READY"))))))))))))),"FIX INVALID PRODUCT ENTRY"))</f>
        <v/>
      </c>
    </row>
    <row r="99" customFormat="false" ht="22" hidden="false" customHeight="true" outlineLevel="0" collapsed="false">
      <c r="A99" s="27"/>
      <c r="B99" s="28"/>
      <c r="C99" s="28"/>
      <c r="D99" s="28"/>
      <c r="E99" s="28"/>
      <c r="F99" s="19"/>
      <c r="G99" s="19"/>
      <c r="H99" s="19"/>
      <c r="I99" s="29"/>
      <c r="J99" s="19"/>
      <c r="K99" s="34" t="str">
        <f aca="false">IF(R99&lt;&gt;"READY","",IFERROR(ROUND((ROUND(SUMIFS('Market Days'!$C$5:$C$54,'Market Days'!$A$5:$A$54,A99,'Market Days'!$B$5:$B$54,B99,'Market Days'!$I$5:$I$54,"READY"),2)+ROUND(SUMIFS('Market Days'!$D$5:$D$54,'Market Days'!$A$5:$A$54,A99,'Market Days'!$B$5:$B$54,B99,'Market Days'!$I$5:$I$54,"READY"),2))/COUNTIFS($A$5:$A$104,A99,$B$5:$B$104,B99,$R$5:$R$104,"READY"),2),""))</f>
        <v/>
      </c>
      <c r="L99" s="34" t="str">
        <f aca="false">IF(R99&lt;&gt;"READY","",IFERROR(ROUND(ROUND(G99,2)+ROUND(H99,2)+ROUND(I99*ROUND(J99,2),2)+K99,2),""))</f>
        <v/>
      </c>
      <c r="M99" s="34" t="str">
        <f aca="false">IF(R99&lt;&gt;"READY","",IFERROR(ROUND(ROUND(F99,2)-L99,2),""))</f>
        <v/>
      </c>
      <c r="N99" s="35" t="str">
        <f aca="false">IF(R99&lt;&gt;"READY","",IFERROR(IF(ROUND(F99,2)=0,"",M99/ROUND(F99,2)),""))</f>
        <v/>
      </c>
      <c r="O99" s="35" t="str">
        <f aca="false">IF(R99&lt;&gt;"READY","",IFERROR(E99/D99,""))</f>
        <v/>
      </c>
      <c r="P99" s="34" t="str">
        <f aca="false">IF(R99&lt;&gt;"READY","",IFERROR(IF(I99=0,"",M99/I99),""))</f>
        <v/>
      </c>
      <c r="Q99" s="36" t="str">
        <f aca="false">IF(COUNTA(A99:J99)=0,"",IF(OR(R99&lt;&gt;"READY",COUNTIF(Targets!$D$5:$D$7,"READY")&lt;&gt;3),"NEEDS REVIEW",IFERROR(IF(AND(N99&lt;&gt;"",P99&lt;&gt;"",O99&lt;&gt;"",ROUND(N99,3)&gt;=ROUND(Targets!$B$5,3),ROUND(P99,2)&gt;=ROUND(Targets!$B$6,2),ROUND(O99,3)&gt;=ROUND(Targets!$B$7,3)),"MEETS TARGETS","REVIEW"),"REVIEW")))</f>
        <v/>
      </c>
      <c r="R99" s="17" t="str">
        <f aca="false">IF(COUNTA(A99:J99)=0,"",IFERROR(IF(A99="","ENTER MARKET DATE",IF(NOT(ISNUMBER(A99)),"ENTER A VALID DATE",IF(B99="","ENTER MARKET NAME",IF(C99="","ENTER PRODUCT BATCH",IF(COUNTIFS($A$5:$A$104,A99,$B$5:$B$104,B99,$C$5:$C$104,C99)&gt;1,"REMOVE DUPLICATE PRODUCT ROW",IF(OR(NOT(ISNUMBER(D99)),D99&lt;=0,D99&lt;&gt;INT(D99)),"ENTER UNITS BROUGHT AS A POSITIVE WHOLE NUMBER",IF(OR(NOT(ISNUMBER(E99)),E99&lt;0,E99&lt;&gt;INT(E99),E99&gt;D99),"CHECK WHOLE UNITS SOLD",IF(OR(NOT(ISNUMBER(F99)),F99&lt;0),"ENTER SALES AS 0 OR MORE",IF(OR(NOT(ISNUMBER(G99)),G99&lt;0),"ENTER INGREDIENT COST AS 0 OR MORE",IF(OR(NOT(ISNUMBER(H99)),H99&lt;0),"ENTER PACKAGING COST AS 0 OR MORE",IF(OR(NOT(ISNUMBER(I99)),I99&lt;0),"ENTER PRODUCT WORK HOURS AS 0 OR MORE",IF(OR(NOT(ISNUMBER(J99)),J99&lt;0),"ENTER TIME VALUE AS 0 OR MORE",IF(COUNTIFS('Market Days'!$A$5:$A$54,A99,'Market Days'!$B$5:$B$54,B99,'Market Days'!$I$5:$I$54,"READY")&lt;&gt;1,"FIX OR ADD MATCHING MARKET DAY","READY"))))))))))))),"FIX INVALID PRODUCT ENTRY"))</f>
        <v/>
      </c>
    </row>
    <row r="100" customFormat="false" ht="22" hidden="false" customHeight="true" outlineLevel="0" collapsed="false">
      <c r="A100" s="27"/>
      <c r="B100" s="28"/>
      <c r="C100" s="28"/>
      <c r="D100" s="28"/>
      <c r="E100" s="28"/>
      <c r="F100" s="19"/>
      <c r="G100" s="19"/>
      <c r="H100" s="19"/>
      <c r="I100" s="29"/>
      <c r="J100" s="19"/>
      <c r="K100" s="34" t="str">
        <f aca="false">IF(R100&lt;&gt;"READY","",IFERROR(ROUND((ROUND(SUMIFS('Market Days'!$C$5:$C$54,'Market Days'!$A$5:$A$54,A100,'Market Days'!$B$5:$B$54,B100,'Market Days'!$I$5:$I$54,"READY"),2)+ROUND(SUMIFS('Market Days'!$D$5:$D$54,'Market Days'!$A$5:$A$54,A100,'Market Days'!$B$5:$B$54,B100,'Market Days'!$I$5:$I$54,"READY"),2))/COUNTIFS($A$5:$A$104,A100,$B$5:$B$104,B100,$R$5:$R$104,"READY"),2),""))</f>
        <v/>
      </c>
      <c r="L100" s="34" t="str">
        <f aca="false">IF(R100&lt;&gt;"READY","",IFERROR(ROUND(ROUND(G100,2)+ROUND(H100,2)+ROUND(I100*ROUND(J100,2),2)+K100,2),""))</f>
        <v/>
      </c>
      <c r="M100" s="34" t="str">
        <f aca="false">IF(R100&lt;&gt;"READY","",IFERROR(ROUND(ROUND(F100,2)-L100,2),""))</f>
        <v/>
      </c>
      <c r="N100" s="35" t="str">
        <f aca="false">IF(R100&lt;&gt;"READY","",IFERROR(IF(ROUND(F100,2)=0,"",M100/ROUND(F100,2)),""))</f>
        <v/>
      </c>
      <c r="O100" s="35" t="str">
        <f aca="false">IF(R100&lt;&gt;"READY","",IFERROR(E100/D100,""))</f>
        <v/>
      </c>
      <c r="P100" s="34" t="str">
        <f aca="false">IF(R100&lt;&gt;"READY","",IFERROR(IF(I100=0,"",M100/I100),""))</f>
        <v/>
      </c>
      <c r="Q100" s="36" t="str">
        <f aca="false">IF(COUNTA(A100:J100)=0,"",IF(OR(R100&lt;&gt;"READY",COUNTIF(Targets!$D$5:$D$7,"READY")&lt;&gt;3),"NEEDS REVIEW",IFERROR(IF(AND(N100&lt;&gt;"",P100&lt;&gt;"",O100&lt;&gt;"",ROUND(N100,3)&gt;=ROUND(Targets!$B$5,3),ROUND(P100,2)&gt;=ROUND(Targets!$B$6,2),ROUND(O100,3)&gt;=ROUND(Targets!$B$7,3)),"MEETS TARGETS","REVIEW"),"REVIEW")))</f>
        <v/>
      </c>
      <c r="R100" s="17" t="str">
        <f aca="false">IF(COUNTA(A100:J100)=0,"",IFERROR(IF(A100="","ENTER MARKET DATE",IF(NOT(ISNUMBER(A100)),"ENTER A VALID DATE",IF(B100="","ENTER MARKET NAME",IF(C100="","ENTER PRODUCT BATCH",IF(COUNTIFS($A$5:$A$104,A100,$B$5:$B$104,B100,$C$5:$C$104,C100)&gt;1,"REMOVE DUPLICATE PRODUCT ROW",IF(OR(NOT(ISNUMBER(D100)),D100&lt;=0,D100&lt;&gt;INT(D100)),"ENTER UNITS BROUGHT AS A POSITIVE WHOLE NUMBER",IF(OR(NOT(ISNUMBER(E100)),E100&lt;0,E100&lt;&gt;INT(E100),E100&gt;D100),"CHECK WHOLE UNITS SOLD",IF(OR(NOT(ISNUMBER(F100)),F100&lt;0),"ENTER SALES AS 0 OR MORE",IF(OR(NOT(ISNUMBER(G100)),G100&lt;0),"ENTER INGREDIENT COST AS 0 OR MORE",IF(OR(NOT(ISNUMBER(H100)),H100&lt;0),"ENTER PACKAGING COST AS 0 OR MORE",IF(OR(NOT(ISNUMBER(I100)),I100&lt;0),"ENTER PRODUCT WORK HOURS AS 0 OR MORE",IF(OR(NOT(ISNUMBER(J100)),J100&lt;0),"ENTER TIME VALUE AS 0 OR MORE",IF(COUNTIFS('Market Days'!$A$5:$A$54,A100,'Market Days'!$B$5:$B$54,B100,'Market Days'!$I$5:$I$54,"READY")&lt;&gt;1,"FIX OR ADD MATCHING MARKET DAY","READY"))))))))))))),"FIX INVALID PRODUCT ENTRY"))</f>
        <v/>
      </c>
    </row>
    <row r="101" customFormat="false" ht="22" hidden="false" customHeight="true" outlineLevel="0" collapsed="false">
      <c r="A101" s="27"/>
      <c r="B101" s="28"/>
      <c r="C101" s="28"/>
      <c r="D101" s="28"/>
      <c r="E101" s="28"/>
      <c r="F101" s="19"/>
      <c r="G101" s="19"/>
      <c r="H101" s="19"/>
      <c r="I101" s="29"/>
      <c r="J101" s="19"/>
      <c r="K101" s="34" t="str">
        <f aca="false">IF(R101&lt;&gt;"READY","",IFERROR(ROUND((ROUND(SUMIFS('Market Days'!$C$5:$C$54,'Market Days'!$A$5:$A$54,A101,'Market Days'!$B$5:$B$54,B101,'Market Days'!$I$5:$I$54,"READY"),2)+ROUND(SUMIFS('Market Days'!$D$5:$D$54,'Market Days'!$A$5:$A$54,A101,'Market Days'!$B$5:$B$54,B101,'Market Days'!$I$5:$I$54,"READY"),2))/COUNTIFS($A$5:$A$104,A101,$B$5:$B$104,B101,$R$5:$R$104,"READY"),2),""))</f>
        <v/>
      </c>
      <c r="L101" s="34" t="str">
        <f aca="false">IF(R101&lt;&gt;"READY","",IFERROR(ROUND(ROUND(G101,2)+ROUND(H101,2)+ROUND(I101*ROUND(J101,2),2)+K101,2),""))</f>
        <v/>
      </c>
      <c r="M101" s="34" t="str">
        <f aca="false">IF(R101&lt;&gt;"READY","",IFERROR(ROUND(ROUND(F101,2)-L101,2),""))</f>
        <v/>
      </c>
      <c r="N101" s="35" t="str">
        <f aca="false">IF(R101&lt;&gt;"READY","",IFERROR(IF(ROUND(F101,2)=0,"",M101/ROUND(F101,2)),""))</f>
        <v/>
      </c>
      <c r="O101" s="35" t="str">
        <f aca="false">IF(R101&lt;&gt;"READY","",IFERROR(E101/D101,""))</f>
        <v/>
      </c>
      <c r="P101" s="34" t="str">
        <f aca="false">IF(R101&lt;&gt;"READY","",IFERROR(IF(I101=0,"",M101/I101),""))</f>
        <v/>
      </c>
      <c r="Q101" s="36" t="str">
        <f aca="false">IF(COUNTA(A101:J101)=0,"",IF(OR(R101&lt;&gt;"READY",COUNTIF(Targets!$D$5:$D$7,"READY")&lt;&gt;3),"NEEDS REVIEW",IFERROR(IF(AND(N101&lt;&gt;"",P101&lt;&gt;"",O101&lt;&gt;"",ROUND(N101,3)&gt;=ROUND(Targets!$B$5,3),ROUND(P101,2)&gt;=ROUND(Targets!$B$6,2),ROUND(O101,3)&gt;=ROUND(Targets!$B$7,3)),"MEETS TARGETS","REVIEW"),"REVIEW")))</f>
        <v/>
      </c>
      <c r="R101" s="17" t="str">
        <f aca="false">IF(COUNTA(A101:J101)=0,"",IFERROR(IF(A101="","ENTER MARKET DATE",IF(NOT(ISNUMBER(A101)),"ENTER A VALID DATE",IF(B101="","ENTER MARKET NAME",IF(C101="","ENTER PRODUCT BATCH",IF(COUNTIFS($A$5:$A$104,A101,$B$5:$B$104,B101,$C$5:$C$104,C101)&gt;1,"REMOVE DUPLICATE PRODUCT ROW",IF(OR(NOT(ISNUMBER(D101)),D101&lt;=0,D101&lt;&gt;INT(D101)),"ENTER UNITS BROUGHT AS A POSITIVE WHOLE NUMBER",IF(OR(NOT(ISNUMBER(E101)),E101&lt;0,E101&lt;&gt;INT(E101),E101&gt;D101),"CHECK WHOLE UNITS SOLD",IF(OR(NOT(ISNUMBER(F101)),F101&lt;0),"ENTER SALES AS 0 OR MORE",IF(OR(NOT(ISNUMBER(G101)),G101&lt;0),"ENTER INGREDIENT COST AS 0 OR MORE",IF(OR(NOT(ISNUMBER(H101)),H101&lt;0),"ENTER PACKAGING COST AS 0 OR MORE",IF(OR(NOT(ISNUMBER(I101)),I101&lt;0),"ENTER PRODUCT WORK HOURS AS 0 OR MORE",IF(OR(NOT(ISNUMBER(J101)),J101&lt;0),"ENTER TIME VALUE AS 0 OR MORE",IF(COUNTIFS('Market Days'!$A$5:$A$54,A101,'Market Days'!$B$5:$B$54,B101,'Market Days'!$I$5:$I$54,"READY")&lt;&gt;1,"FIX OR ADD MATCHING MARKET DAY","READY"))))))))))))),"FIX INVALID PRODUCT ENTRY"))</f>
        <v/>
      </c>
    </row>
    <row r="102" customFormat="false" ht="22" hidden="false" customHeight="true" outlineLevel="0" collapsed="false">
      <c r="A102" s="27"/>
      <c r="B102" s="28"/>
      <c r="C102" s="28"/>
      <c r="D102" s="28"/>
      <c r="E102" s="28"/>
      <c r="F102" s="19"/>
      <c r="G102" s="19"/>
      <c r="H102" s="19"/>
      <c r="I102" s="29"/>
      <c r="J102" s="19"/>
      <c r="K102" s="34" t="str">
        <f aca="false">IF(R102&lt;&gt;"READY","",IFERROR(ROUND((ROUND(SUMIFS('Market Days'!$C$5:$C$54,'Market Days'!$A$5:$A$54,A102,'Market Days'!$B$5:$B$54,B102,'Market Days'!$I$5:$I$54,"READY"),2)+ROUND(SUMIFS('Market Days'!$D$5:$D$54,'Market Days'!$A$5:$A$54,A102,'Market Days'!$B$5:$B$54,B102,'Market Days'!$I$5:$I$54,"READY"),2))/COUNTIFS($A$5:$A$104,A102,$B$5:$B$104,B102,$R$5:$R$104,"READY"),2),""))</f>
        <v/>
      </c>
      <c r="L102" s="34" t="str">
        <f aca="false">IF(R102&lt;&gt;"READY","",IFERROR(ROUND(ROUND(G102,2)+ROUND(H102,2)+ROUND(I102*ROUND(J102,2),2)+K102,2),""))</f>
        <v/>
      </c>
      <c r="M102" s="34" t="str">
        <f aca="false">IF(R102&lt;&gt;"READY","",IFERROR(ROUND(ROUND(F102,2)-L102,2),""))</f>
        <v/>
      </c>
      <c r="N102" s="35" t="str">
        <f aca="false">IF(R102&lt;&gt;"READY","",IFERROR(IF(ROUND(F102,2)=0,"",M102/ROUND(F102,2)),""))</f>
        <v/>
      </c>
      <c r="O102" s="35" t="str">
        <f aca="false">IF(R102&lt;&gt;"READY","",IFERROR(E102/D102,""))</f>
        <v/>
      </c>
      <c r="P102" s="34" t="str">
        <f aca="false">IF(R102&lt;&gt;"READY","",IFERROR(IF(I102=0,"",M102/I102),""))</f>
        <v/>
      </c>
      <c r="Q102" s="36" t="str">
        <f aca="false">IF(COUNTA(A102:J102)=0,"",IF(OR(R102&lt;&gt;"READY",COUNTIF(Targets!$D$5:$D$7,"READY")&lt;&gt;3),"NEEDS REVIEW",IFERROR(IF(AND(N102&lt;&gt;"",P102&lt;&gt;"",O102&lt;&gt;"",ROUND(N102,3)&gt;=ROUND(Targets!$B$5,3),ROUND(P102,2)&gt;=ROUND(Targets!$B$6,2),ROUND(O102,3)&gt;=ROUND(Targets!$B$7,3)),"MEETS TARGETS","REVIEW"),"REVIEW")))</f>
        <v/>
      </c>
      <c r="R102" s="17" t="str">
        <f aca="false">IF(COUNTA(A102:J102)=0,"",IFERROR(IF(A102="","ENTER MARKET DATE",IF(NOT(ISNUMBER(A102)),"ENTER A VALID DATE",IF(B102="","ENTER MARKET NAME",IF(C102="","ENTER PRODUCT BATCH",IF(COUNTIFS($A$5:$A$104,A102,$B$5:$B$104,B102,$C$5:$C$104,C102)&gt;1,"REMOVE DUPLICATE PRODUCT ROW",IF(OR(NOT(ISNUMBER(D102)),D102&lt;=0,D102&lt;&gt;INT(D102)),"ENTER UNITS BROUGHT AS A POSITIVE WHOLE NUMBER",IF(OR(NOT(ISNUMBER(E102)),E102&lt;0,E102&lt;&gt;INT(E102),E102&gt;D102),"CHECK WHOLE UNITS SOLD",IF(OR(NOT(ISNUMBER(F102)),F102&lt;0),"ENTER SALES AS 0 OR MORE",IF(OR(NOT(ISNUMBER(G102)),G102&lt;0),"ENTER INGREDIENT COST AS 0 OR MORE",IF(OR(NOT(ISNUMBER(H102)),H102&lt;0),"ENTER PACKAGING COST AS 0 OR MORE",IF(OR(NOT(ISNUMBER(I102)),I102&lt;0),"ENTER PRODUCT WORK HOURS AS 0 OR MORE",IF(OR(NOT(ISNUMBER(J102)),J102&lt;0),"ENTER TIME VALUE AS 0 OR MORE",IF(COUNTIFS('Market Days'!$A$5:$A$54,A102,'Market Days'!$B$5:$B$54,B102,'Market Days'!$I$5:$I$54,"READY")&lt;&gt;1,"FIX OR ADD MATCHING MARKET DAY","READY"))))))))))))),"FIX INVALID PRODUCT ENTRY"))</f>
        <v/>
      </c>
    </row>
    <row r="103" customFormat="false" ht="22" hidden="false" customHeight="true" outlineLevel="0" collapsed="false">
      <c r="A103" s="27"/>
      <c r="B103" s="28"/>
      <c r="C103" s="28"/>
      <c r="D103" s="28"/>
      <c r="E103" s="28"/>
      <c r="F103" s="19"/>
      <c r="G103" s="19"/>
      <c r="H103" s="19"/>
      <c r="I103" s="29"/>
      <c r="J103" s="19"/>
      <c r="K103" s="34" t="str">
        <f aca="false">IF(R103&lt;&gt;"READY","",IFERROR(ROUND((ROUND(SUMIFS('Market Days'!$C$5:$C$54,'Market Days'!$A$5:$A$54,A103,'Market Days'!$B$5:$B$54,B103,'Market Days'!$I$5:$I$54,"READY"),2)+ROUND(SUMIFS('Market Days'!$D$5:$D$54,'Market Days'!$A$5:$A$54,A103,'Market Days'!$B$5:$B$54,B103,'Market Days'!$I$5:$I$54,"READY"),2))/COUNTIFS($A$5:$A$104,A103,$B$5:$B$104,B103,$R$5:$R$104,"READY"),2),""))</f>
        <v/>
      </c>
      <c r="L103" s="34" t="str">
        <f aca="false">IF(R103&lt;&gt;"READY","",IFERROR(ROUND(ROUND(G103,2)+ROUND(H103,2)+ROUND(I103*ROUND(J103,2),2)+K103,2),""))</f>
        <v/>
      </c>
      <c r="M103" s="34" t="str">
        <f aca="false">IF(R103&lt;&gt;"READY","",IFERROR(ROUND(ROUND(F103,2)-L103,2),""))</f>
        <v/>
      </c>
      <c r="N103" s="35" t="str">
        <f aca="false">IF(R103&lt;&gt;"READY","",IFERROR(IF(ROUND(F103,2)=0,"",M103/ROUND(F103,2)),""))</f>
        <v/>
      </c>
      <c r="O103" s="35" t="str">
        <f aca="false">IF(R103&lt;&gt;"READY","",IFERROR(E103/D103,""))</f>
        <v/>
      </c>
      <c r="P103" s="34" t="str">
        <f aca="false">IF(R103&lt;&gt;"READY","",IFERROR(IF(I103=0,"",M103/I103),""))</f>
        <v/>
      </c>
      <c r="Q103" s="36" t="str">
        <f aca="false">IF(COUNTA(A103:J103)=0,"",IF(OR(R103&lt;&gt;"READY",COUNTIF(Targets!$D$5:$D$7,"READY")&lt;&gt;3),"NEEDS REVIEW",IFERROR(IF(AND(N103&lt;&gt;"",P103&lt;&gt;"",O103&lt;&gt;"",ROUND(N103,3)&gt;=ROUND(Targets!$B$5,3),ROUND(P103,2)&gt;=ROUND(Targets!$B$6,2),ROUND(O103,3)&gt;=ROUND(Targets!$B$7,3)),"MEETS TARGETS","REVIEW"),"REVIEW")))</f>
        <v/>
      </c>
      <c r="R103" s="17" t="str">
        <f aca="false">IF(COUNTA(A103:J103)=0,"",IFERROR(IF(A103="","ENTER MARKET DATE",IF(NOT(ISNUMBER(A103)),"ENTER A VALID DATE",IF(B103="","ENTER MARKET NAME",IF(C103="","ENTER PRODUCT BATCH",IF(COUNTIFS($A$5:$A$104,A103,$B$5:$B$104,B103,$C$5:$C$104,C103)&gt;1,"REMOVE DUPLICATE PRODUCT ROW",IF(OR(NOT(ISNUMBER(D103)),D103&lt;=0,D103&lt;&gt;INT(D103)),"ENTER UNITS BROUGHT AS A POSITIVE WHOLE NUMBER",IF(OR(NOT(ISNUMBER(E103)),E103&lt;0,E103&lt;&gt;INT(E103),E103&gt;D103),"CHECK WHOLE UNITS SOLD",IF(OR(NOT(ISNUMBER(F103)),F103&lt;0),"ENTER SALES AS 0 OR MORE",IF(OR(NOT(ISNUMBER(G103)),G103&lt;0),"ENTER INGREDIENT COST AS 0 OR MORE",IF(OR(NOT(ISNUMBER(H103)),H103&lt;0),"ENTER PACKAGING COST AS 0 OR MORE",IF(OR(NOT(ISNUMBER(I103)),I103&lt;0),"ENTER PRODUCT WORK HOURS AS 0 OR MORE",IF(OR(NOT(ISNUMBER(J103)),J103&lt;0),"ENTER TIME VALUE AS 0 OR MORE",IF(COUNTIFS('Market Days'!$A$5:$A$54,A103,'Market Days'!$B$5:$B$54,B103,'Market Days'!$I$5:$I$54,"READY")&lt;&gt;1,"FIX OR ADD MATCHING MARKET DAY","READY"))))))))))))),"FIX INVALID PRODUCT ENTRY"))</f>
        <v/>
      </c>
    </row>
    <row r="104" customFormat="false" ht="22" hidden="false" customHeight="true" outlineLevel="0" collapsed="false">
      <c r="A104" s="27"/>
      <c r="B104" s="28"/>
      <c r="C104" s="28"/>
      <c r="D104" s="28"/>
      <c r="E104" s="28"/>
      <c r="F104" s="19"/>
      <c r="G104" s="19"/>
      <c r="H104" s="19"/>
      <c r="I104" s="29"/>
      <c r="J104" s="19"/>
      <c r="K104" s="34" t="str">
        <f aca="false">IF(R104&lt;&gt;"READY","",IFERROR(ROUND((ROUND(SUMIFS('Market Days'!$C$5:$C$54,'Market Days'!$A$5:$A$54,A104,'Market Days'!$B$5:$B$54,B104,'Market Days'!$I$5:$I$54,"READY"),2)+ROUND(SUMIFS('Market Days'!$D$5:$D$54,'Market Days'!$A$5:$A$54,A104,'Market Days'!$B$5:$B$54,B104,'Market Days'!$I$5:$I$54,"READY"),2))/COUNTIFS($A$5:$A$104,A104,$B$5:$B$104,B104,$R$5:$R$104,"READY"),2),""))</f>
        <v/>
      </c>
      <c r="L104" s="34" t="str">
        <f aca="false">IF(R104&lt;&gt;"READY","",IFERROR(ROUND(ROUND(G104,2)+ROUND(H104,2)+ROUND(I104*ROUND(J104,2),2)+K104,2),""))</f>
        <v/>
      </c>
      <c r="M104" s="34" t="str">
        <f aca="false">IF(R104&lt;&gt;"READY","",IFERROR(ROUND(ROUND(F104,2)-L104,2),""))</f>
        <v/>
      </c>
      <c r="N104" s="35" t="str">
        <f aca="false">IF(R104&lt;&gt;"READY","",IFERROR(IF(ROUND(F104,2)=0,"",M104/ROUND(F104,2)),""))</f>
        <v/>
      </c>
      <c r="O104" s="35" t="str">
        <f aca="false">IF(R104&lt;&gt;"READY","",IFERROR(E104/D104,""))</f>
        <v/>
      </c>
      <c r="P104" s="34" t="str">
        <f aca="false">IF(R104&lt;&gt;"READY","",IFERROR(IF(I104=0,"",M104/I104),""))</f>
        <v/>
      </c>
      <c r="Q104" s="36" t="str">
        <f aca="false">IF(COUNTA(A104:J104)=0,"",IF(OR(R104&lt;&gt;"READY",COUNTIF(Targets!$D$5:$D$7,"READY")&lt;&gt;3),"NEEDS REVIEW",IFERROR(IF(AND(N104&lt;&gt;"",P104&lt;&gt;"",O104&lt;&gt;"",ROUND(N104,3)&gt;=ROUND(Targets!$B$5,3),ROUND(P104,2)&gt;=ROUND(Targets!$B$6,2),ROUND(O104,3)&gt;=ROUND(Targets!$B$7,3)),"MEETS TARGETS","REVIEW"),"REVIEW")))</f>
        <v/>
      </c>
      <c r="R104" s="17" t="str">
        <f aca="false">IF(COUNTA(A104:J104)=0,"",IFERROR(IF(A104="","ENTER MARKET DATE",IF(NOT(ISNUMBER(A104)),"ENTER A VALID DATE",IF(B104="","ENTER MARKET NAME",IF(C104="","ENTER PRODUCT BATCH",IF(COUNTIFS($A$5:$A$104,A104,$B$5:$B$104,B104,$C$5:$C$104,C104)&gt;1,"REMOVE DUPLICATE PRODUCT ROW",IF(OR(NOT(ISNUMBER(D104)),D104&lt;=0,D104&lt;&gt;INT(D104)),"ENTER UNITS BROUGHT AS A POSITIVE WHOLE NUMBER",IF(OR(NOT(ISNUMBER(E104)),E104&lt;0,E104&lt;&gt;INT(E104),E104&gt;D104),"CHECK WHOLE UNITS SOLD",IF(OR(NOT(ISNUMBER(F104)),F104&lt;0),"ENTER SALES AS 0 OR MORE",IF(OR(NOT(ISNUMBER(G104)),G104&lt;0),"ENTER INGREDIENT COST AS 0 OR MORE",IF(OR(NOT(ISNUMBER(H104)),H104&lt;0),"ENTER PACKAGING COST AS 0 OR MORE",IF(OR(NOT(ISNUMBER(I104)),I104&lt;0),"ENTER PRODUCT WORK HOURS AS 0 OR MORE",IF(OR(NOT(ISNUMBER(J104)),J104&lt;0),"ENTER TIME VALUE AS 0 OR MORE",IF(COUNTIFS('Market Days'!$A$5:$A$54,A104,'Market Days'!$B$5:$B$54,B104,'Market Days'!$I$5:$I$54,"READY")&lt;&gt;1,"FIX OR ADD MATCHING MARKET DAY","READY"))))))))))))),"FIX INVALID PRODUCT ENTRY"))</f>
        <v/>
      </c>
    </row>
  </sheetData>
  <mergeCells count="2">
    <mergeCell ref="A1:R1"/>
    <mergeCell ref="A2:R2"/>
  </mergeCells>
  <conditionalFormatting sqref="R5:R104">
    <cfRule type="expression" priority="2" aboveAverage="0" equalAverage="0" bottom="0" percent="0" rank="0" text="" dxfId="2">
      <formula>R5="READY"</formula>
    </cfRule>
  </conditionalFormatting>
  <conditionalFormatting sqref="Q5:Q104">
    <cfRule type="expression" priority="3" aboveAverage="0" equalAverage="0" bottom="0" percent="0" rank="0" text="" dxfId="3">
      <formula>Q5="MEETS TARGETS"</formula>
    </cfRule>
    <cfRule type="expression" priority="4" aboveAverage="0" equalAverage="0" bottom="0" percent="0" rank="0" text="" dxfId="4">
      <formula>Q5="REVIEW"</formula>
    </cfRule>
    <cfRule type="expression" priority="5" aboveAverage="0" equalAverage="0" bottom="0" percent="0" rank="0" text="" dxfId="5">
      <formula>Q5="NEEDS REVIEW"</formula>
    </cfRule>
  </conditionalFormatting>
  <dataValidations count="3">
    <dataValidation allowBlank="false" errorStyle="stop" operator="greaterThan" showDropDown="false" showErrorMessage="false" showInputMessage="false" sqref="D5:D104" type="whole">
      <formula1>0</formula1>
      <formula2>0</formula2>
    </dataValidation>
    <dataValidation allowBlank="false" errorStyle="stop" operator="greaterThanOrEqual" showDropDown="false" showErrorMessage="false" showInputMessage="false" sqref="E5:E104" type="whole">
      <formula1>0</formula1>
      <formula2>0</formula2>
    </dataValidation>
    <dataValidation allowBlank="false" errorStyle="stop" operator="greaterThanOrEqual" showDropDown="false" showErrorMessage="false" showInputMessage="false" sqref="F5:J104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3" min="2" style="0" width="25"/>
    <col collapsed="false" customWidth="true" hidden="false" outlineLevel="0" max="6" min="4" style="0" width="19"/>
    <col collapsed="false" customWidth="true" hidden="false" outlineLevel="0" max="8" min="7" style="0" width="23"/>
    <col collapsed="false" customWidth="true" hidden="false" outlineLevel="0" max="9" min="9" style="0" width="29"/>
  </cols>
  <sheetData>
    <row r="1" customFormat="false" ht="36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</row>
    <row r="2" customFormat="false" ht="31" hidden="false" customHeight="true" outlineLevel="0" collapsed="false">
      <c r="A2" s="2" t="s">
        <v>65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2" t="s">
        <v>78</v>
      </c>
    </row>
    <row r="4" customFormat="false" ht="34" hidden="false" customHeight="true" outlineLevel="0" collapsed="false">
      <c r="A4" s="12" t="s">
        <v>30</v>
      </c>
      <c r="B4" s="12" t="s">
        <v>46</v>
      </c>
      <c r="C4" s="12" t="s">
        <v>53</v>
      </c>
      <c r="D4" s="12" t="s">
        <v>54</v>
      </c>
      <c r="E4" s="12" t="s">
        <v>45</v>
      </c>
      <c r="F4" s="12" t="s">
        <v>55</v>
      </c>
      <c r="G4" s="12" t="s">
        <v>66</v>
      </c>
      <c r="H4" s="12" t="s">
        <v>57</v>
      </c>
      <c r="I4" s="21" t="s">
        <v>20</v>
      </c>
    </row>
    <row r="5" customFormat="false" ht="22" hidden="false" customHeight="true" outlineLevel="0" collapsed="false">
      <c r="A5" s="14" t="s">
        <v>37</v>
      </c>
      <c r="B5" s="31" t="n">
        <f aca="false">IF($A5="","",SUMIFS('Product Sales'!$L$5:$L$104,'Product Sales'!$B$5:$B$104,$A5,'Product Sales'!$R$5:$R$104,"READY")+SUMIFS('Product Sales'!$M$5:$M$104,'Product Sales'!$B$5:$B$104,$A5,'Product Sales'!$R$5:$R$104,"READY"))</f>
        <v>487</v>
      </c>
      <c r="C5" s="31" t="n">
        <f aca="false">IF($A5="","",SUMIFS('Product Sales'!$M$5:$M$104,'Product Sales'!$B$5:$B$104,$A5,'Product Sales'!$R$5:$R$104,"READY"))</f>
        <v>109</v>
      </c>
      <c r="D5" s="32" t="n">
        <f aca="false">IFERROR(C5/B5,"")</f>
        <v>0.223819301848049</v>
      </c>
      <c r="E5" s="37" t="n">
        <f aca="false">IF($A5="","",SUMIFS('Product Sales'!$E$5:$E$104,'Product Sales'!$B$5:$B$104,$A5,'Product Sales'!$R$5:$R$104,"READY"))</f>
        <v>46</v>
      </c>
      <c r="F5" s="32" t="n">
        <f aca="false">IFERROR(E5/SUMIFS('Product Sales'!$D$5:$D$104,'Product Sales'!$B$5:$B$104,$A5,'Product Sales'!$R$5:$R$104,"READY"),"")</f>
        <v>0.766666666666667</v>
      </c>
      <c r="G5" s="31" t="n">
        <f aca="false">IFERROR(C5/SUMIFS('Market Days'!$E$5:$E$54,'Market Days'!$B$5:$B$54,$A5,'Market Days'!$I$5:$I$54,"READY"),"")</f>
        <v>15.5714285714286</v>
      </c>
      <c r="H5" s="33" t="str">
        <f aca="false">IF(A5="","",IF(OR(I5&lt;&gt;"READY",COUNTIF(Targets!$D$5:$D$7,"READY")&lt;&gt;3),"NEEDS REVIEW",IF(AND(D5&lt;&gt;"",F5&lt;&gt;"",G5&lt;&gt;"",ROUND(D5,3)&gt;=ROUND(Targets!$B$5,3),ROUND(G5,2)&gt;=ROUND(Targets!$B$6,2),ROUND(F5,3)&gt;=ROUND(Targets!$B$7,3)),"MEETS TARGETS","REVIEW")))</f>
        <v>REVIEW</v>
      </c>
      <c r="I5" s="17" t="str">
        <f aca="false">IF(A5="","",IFERROR(IF(COUNTIF('Market Days'!$B$5:$B$54,A5)=0,"MARKET NOT FOUND",IF(COUNTIF('Market Days'!$B$5:$B$54,A5)&lt;&gt;COUNTIFS('Market Days'!$B$5:$B$54,A5,'Market Days'!$I$5:$I$54,"READY"),"FIX MARKET DAY",IF(COUNTIFS('Product Sales'!$B$5:$B$104,A5,'Product Sales'!$R$5:$R$104,"READY")=0,"ADD READY PRODUCT SALES","READY"))),"FIX THIS MARKET"))</f>
        <v>READY</v>
      </c>
    </row>
    <row r="6" customFormat="false" ht="22" hidden="false" customHeight="true" outlineLevel="0" collapsed="false">
      <c r="A6" s="18" t="s">
        <v>39</v>
      </c>
      <c r="B6" s="34" t="n">
        <f aca="false">IF($A6="","",SUMIFS('Product Sales'!$L$5:$L$104,'Product Sales'!$B$5:$B$104,$A6,'Product Sales'!$R$5:$R$104,"READY")+SUMIFS('Product Sales'!$M$5:$M$104,'Product Sales'!$B$5:$B$104,$A6,'Product Sales'!$R$5:$R$104,"READY"))</f>
        <v>478</v>
      </c>
      <c r="C6" s="34" t="n">
        <f aca="false">IF($A6="","",SUMIFS('Product Sales'!$M$5:$M$104,'Product Sales'!$B$5:$B$104,$A6,'Product Sales'!$R$5:$R$104,"READY"))</f>
        <v>182</v>
      </c>
      <c r="D6" s="35" t="n">
        <f aca="false">IFERROR(C6/B6,"")</f>
        <v>0.380753138075314</v>
      </c>
      <c r="E6" s="38" t="n">
        <f aca="false">IF($A6="","",SUMIFS('Product Sales'!$E$5:$E$104,'Product Sales'!$B$5:$B$104,$A6,'Product Sales'!$R$5:$R$104,"READY"))</f>
        <v>44</v>
      </c>
      <c r="F6" s="35" t="n">
        <f aca="false">IFERROR(E6/SUMIFS('Product Sales'!$D$5:$D$104,'Product Sales'!$B$5:$B$104,$A6,'Product Sales'!$R$5:$R$104,"READY"),"")</f>
        <v>0.88</v>
      </c>
      <c r="G6" s="34" t="n">
        <f aca="false">IFERROR(C6/SUMIFS('Market Days'!$E$5:$E$54,'Market Days'!$B$5:$B$54,$A6,'Market Days'!$I$5:$I$54,"READY"),"")</f>
        <v>36.4</v>
      </c>
      <c r="H6" s="36" t="str">
        <f aca="false">IF(A6="","",IF(OR(I6&lt;&gt;"READY",COUNTIF(Targets!$D$5:$D$7,"READY")&lt;&gt;3),"NEEDS REVIEW",IF(AND(D6&lt;&gt;"",F6&lt;&gt;"",G6&lt;&gt;"",ROUND(D6,3)&gt;=ROUND(Targets!$B$5,3),ROUND(G6,2)&gt;=ROUND(Targets!$B$6,2),ROUND(F6,3)&gt;=ROUND(Targets!$B$7,3)),"MEETS TARGETS","REVIEW")))</f>
        <v>MEETS TARGETS</v>
      </c>
      <c r="I6" s="17" t="str">
        <f aca="false">IF(A6="","",IFERROR(IF(COUNTIF('Market Days'!$B$5:$B$54,A6)=0,"MARKET NOT FOUND",IF(COUNTIF('Market Days'!$B$5:$B$54,A6)&lt;&gt;COUNTIFS('Market Days'!$B$5:$B$54,A6,'Market Days'!$I$5:$I$54,"READY"),"FIX MARKET DAY",IF(COUNTIFS('Product Sales'!$B$5:$B$104,A6,'Product Sales'!$R$5:$R$104,"READY")=0,"ADD READY PRODUCT SALES","READY"))),"FIX THIS MARKET"))</f>
        <v>READY</v>
      </c>
    </row>
    <row r="7" customFormat="false" ht="22" hidden="false" customHeight="true" outlineLevel="0" collapsed="false">
      <c r="A7" s="18" t="s">
        <v>40</v>
      </c>
      <c r="B7" s="34" t="n">
        <f aca="false">IF($A7="","",SUMIFS('Product Sales'!$L$5:$L$104,'Product Sales'!$B$5:$B$104,$A7,'Product Sales'!$R$5:$R$104,"READY")+SUMIFS('Product Sales'!$M$5:$M$104,'Product Sales'!$B$5:$B$104,$A7,'Product Sales'!$R$5:$R$104,"READY"))</f>
        <v>509</v>
      </c>
      <c r="C7" s="34" t="n">
        <f aca="false">IF($A7="","",SUMIFS('Product Sales'!$M$5:$M$104,'Product Sales'!$B$5:$B$104,$A7,'Product Sales'!$R$5:$R$104,"READY"))</f>
        <v>51</v>
      </c>
      <c r="D7" s="35" t="n">
        <f aca="false">IFERROR(C7/B7,"")</f>
        <v>0.100196463654224</v>
      </c>
      <c r="E7" s="38" t="n">
        <f aca="false">IF($A7="","",SUMIFS('Product Sales'!$E$5:$E$104,'Product Sales'!$B$5:$B$104,$A7,'Product Sales'!$R$5:$R$104,"READY"))</f>
        <v>47</v>
      </c>
      <c r="F7" s="35" t="n">
        <f aca="false">IFERROR(E7/SUMIFS('Product Sales'!$D$5:$D$104,'Product Sales'!$B$5:$B$104,$A7,'Product Sales'!$R$5:$R$104,"READY"),"")</f>
        <v>0.671428571428571</v>
      </c>
      <c r="G7" s="34" t="n">
        <f aca="false">IFERROR(C7/SUMIFS('Market Days'!$E$5:$E$54,'Market Days'!$B$5:$B$54,$A7,'Market Days'!$I$5:$I$54,"READY"),"")</f>
        <v>6.375</v>
      </c>
      <c r="H7" s="36" t="str">
        <f aca="false">IF(A7="","",IF(OR(I7&lt;&gt;"READY",COUNTIF(Targets!$D$5:$D$7,"READY")&lt;&gt;3),"NEEDS REVIEW",IF(AND(D7&lt;&gt;"",F7&lt;&gt;"",G7&lt;&gt;"",ROUND(D7,3)&gt;=ROUND(Targets!$B$5,3),ROUND(G7,2)&gt;=ROUND(Targets!$B$6,2),ROUND(F7,3)&gt;=ROUND(Targets!$B$7,3)),"MEETS TARGETS","REVIEW")))</f>
        <v>REVIEW</v>
      </c>
      <c r="I7" s="17" t="str">
        <f aca="false">IF(A7="","",IFERROR(IF(COUNTIF('Market Days'!$B$5:$B$54,A7)=0,"MARKET NOT FOUND",IF(COUNTIF('Market Days'!$B$5:$B$54,A7)&lt;&gt;COUNTIFS('Market Days'!$B$5:$B$54,A7,'Market Days'!$I$5:$I$54,"READY"),"FIX MARKET DAY",IF(COUNTIFS('Product Sales'!$B$5:$B$104,A7,'Product Sales'!$R$5:$R$104,"READY")=0,"ADD READY PRODUCT SALES","READY"))),"FIX THIS MARKET"))</f>
        <v>READY</v>
      </c>
    </row>
    <row r="8" customFormat="false" ht="22" hidden="false" customHeight="true" outlineLevel="0" collapsed="false">
      <c r="A8" s="18"/>
      <c r="B8" s="34" t="n">
        <f aca="false">IF($A8="","",SUMIFS('Product Sales'!$L$5:$L$104,'Product Sales'!$B$5:$B$104,$A8,'Product Sales'!$R$5:$R$104,"READY")+SUMIFS('Product Sales'!$M$5:$M$104,'Product Sales'!$B$5:$B$104,$A8,'Product Sales'!$R$5:$R$104,"READY"))</f>
      </c>
      <c r="C8" s="34" t="n">
        <f aca="false">IF($A8="","",SUMIFS('Product Sales'!$M$5:$M$104,'Product Sales'!$B$5:$B$104,$A8,'Product Sales'!$R$5:$R$104,"READY"))</f>
      </c>
      <c r="D8" s="35">
        <f aca="false">IFERROR(C8/B8,"")</f>
      </c>
      <c r="E8" s="38" t="n">
        <f aca="false">IF($A8="","",SUMIFS('Product Sales'!$E$5:$E$104,'Product Sales'!$B$5:$B$104,$A8,'Product Sales'!$R$5:$R$104,"READY"))</f>
      </c>
      <c r="F8" s="35">
        <f aca="false">IFERROR(E8/SUMIFS('Product Sales'!$D$5:$D$104,'Product Sales'!$B$5:$B$104,$A8,'Product Sales'!$R$5:$R$104,"READY"),"")</f>
      </c>
      <c r="G8" s="34">
        <f aca="false">IFERROR(C8/SUMIFS('Market Days'!$E$5:$E$54,'Market Days'!$B$5:$B$54,$A8,'Market Days'!$I$5:$I$54,"READY"),"")</f>
      </c>
      <c r="H8" s="36">
        <f aca="false">IF(A8="","",IF(OR(I8&lt;&gt;"READY",COUNTIF(Targets!$D$5:$D$7,"READY")&lt;&gt;3),"NEEDS REVIEW",IF(AND(D8&lt;&gt;"",F8&lt;&gt;"",G8&lt;&gt;"",ROUND(D8,3)&gt;=ROUND(Targets!$B$5,3),ROUND(G8,2)&gt;=ROUND(Targets!$B$6,2),ROUND(F8,3)&gt;=ROUND(Targets!$B$7,3)),"MEETS TARGETS","REVIEW")))</f>
      </c>
      <c r="I8" s="17">
        <f aca="false">IF(A8="","",IFERROR(IF(COUNTIF('Market Days'!$B$5:$B$54,A8)=0,"MARKET NOT FOUND",IF(COUNTIF('Market Days'!$B$5:$B$54,A8)&lt;&gt;COUNTIFS('Market Days'!$B$5:$B$54,A8,'Market Days'!$I$5:$I$54,"READY"),"FIX MARKET DAY",IF(COUNTIFS('Product Sales'!$B$5:$B$104,A8,'Product Sales'!$R$5:$R$104,"READY")=0,"ADD READY PRODUCT SALES","READY"))),"FIX THIS MARKET"))</f>
      </c>
    </row>
    <row r="9" customFormat="false" ht="22" hidden="false" customHeight="true" outlineLevel="0" collapsed="false">
      <c r="A9" s="18"/>
      <c r="B9" s="34" t="n">
        <f aca="false">IF($A9="","",SUMIFS('Product Sales'!$L$5:$L$104,'Product Sales'!$B$5:$B$104,$A9,'Product Sales'!$R$5:$R$104,"READY")+SUMIFS('Product Sales'!$M$5:$M$104,'Product Sales'!$B$5:$B$104,$A9,'Product Sales'!$R$5:$R$104,"READY"))</f>
      </c>
      <c r="C9" s="34" t="n">
        <f aca="false">IF($A9="","",SUMIFS('Product Sales'!$M$5:$M$104,'Product Sales'!$B$5:$B$104,$A9,'Product Sales'!$R$5:$R$104,"READY"))</f>
      </c>
      <c r="D9" s="35">
        <f aca="false">IFERROR(C9/B9,"")</f>
      </c>
      <c r="E9" s="38" t="n">
        <f aca="false">IF($A9="","",SUMIFS('Product Sales'!$E$5:$E$104,'Product Sales'!$B$5:$B$104,$A9,'Product Sales'!$R$5:$R$104,"READY"))</f>
      </c>
      <c r="F9" s="35">
        <f aca="false">IFERROR(E9/SUMIFS('Product Sales'!$D$5:$D$104,'Product Sales'!$B$5:$B$104,$A9,'Product Sales'!$R$5:$R$104,"READY"),"")</f>
      </c>
      <c r="G9" s="34">
        <f aca="false">IFERROR(C9/SUMIFS('Market Days'!$E$5:$E$54,'Market Days'!$B$5:$B$54,$A9,'Market Days'!$I$5:$I$54,"READY"),"")</f>
      </c>
      <c r="H9" s="36">
        <f aca="false">IF(A9="","",IF(OR(I9&lt;&gt;"READY",COUNTIF(Targets!$D$5:$D$7,"READY")&lt;&gt;3),"NEEDS REVIEW",IF(AND(D9&lt;&gt;"",F9&lt;&gt;"",G9&lt;&gt;"",ROUND(D9,3)&gt;=ROUND(Targets!$B$5,3),ROUND(G9,2)&gt;=ROUND(Targets!$B$6,2),ROUND(F9,3)&gt;=ROUND(Targets!$B$7,3)),"MEETS TARGETS","REVIEW")))</f>
      </c>
      <c r="I9" s="17">
        <f aca="false">IF(A9="","",IFERROR(IF(COUNTIF('Market Days'!$B$5:$B$54,A9)=0,"MARKET NOT FOUND",IF(COUNTIF('Market Days'!$B$5:$B$54,A9)&lt;&gt;COUNTIFS('Market Days'!$B$5:$B$54,A9,'Market Days'!$I$5:$I$54,"READY"),"FIX MARKET DAY",IF(COUNTIFS('Product Sales'!$B$5:$B$104,A9,'Product Sales'!$R$5:$R$104,"READY")=0,"ADD READY PRODUCT SALES","READY"))),"FIX THIS MARKET"))</f>
      </c>
    </row>
  </sheetData>
  <mergeCells count="2">
    <mergeCell ref="A1:I1"/>
    <mergeCell ref="A2:I2"/>
  </mergeCells>
  <conditionalFormatting sqref="I5:I9">
    <cfRule type="expression" priority="2" aboveAverage="0" equalAverage="0" bottom="0" percent="0" rank="0" text="" dxfId="6">
      <formula>I5="READY"</formula>
    </cfRule>
  </conditionalFormatting>
  <conditionalFormatting sqref="H5:H9">
    <cfRule type="expression" priority="3" aboveAverage="0" equalAverage="0" bottom="0" percent="0" rank="0" text="" dxfId="7">
      <formula>H5="MEETS TARGETS"</formula>
    </cfRule>
    <cfRule type="expression" priority="4" aboveAverage="0" equalAverage="0" bottom="0" percent="0" rank="0" text="" dxfId="8">
      <formula>H5="REVIEW"</formula>
    </cfRule>
    <cfRule type="expression" priority="5" aboveAverage="0" equalAverage="0" bottom="0" percent="0" rank="0" text="" dxfId="9">
      <formula>H5="NEEDS REVIEW"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2"/>
    <col collapsed="false" customWidth="true" hidden="false" outlineLevel="0" max="6" min="4" style="0" width="13"/>
    <col collapsed="false" customWidth="true" hidden="false" outlineLevel="0" max="8" min="7" style="0" width="22"/>
    <col collapsed="false" customWidth="true" hidden="false" outlineLevel="0" max="14" min="9" style="0" width="13"/>
  </cols>
  <sheetData>
    <row r="1" customFormat="false" ht="36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2" hidden="false" customHeight="true" outlineLevel="0" collapsed="false">
      <c r="A4" s="39" t="s">
        <v>71</v>
      </c>
      <c r="B4" s="39"/>
      <c r="C4" s="39"/>
      <c r="E4" s="39" t="s">
        <v>72</v>
      </c>
      <c r="F4" s="39"/>
      <c r="G4" s="39"/>
      <c r="I4" s="39" t="s">
        <v>73</v>
      </c>
      <c r="J4" s="39"/>
      <c r="K4" s="39"/>
      <c r="M4" s="39" t="s">
        <v>74</v>
      </c>
      <c r="N4" s="39"/>
      <c r="O4" s="39"/>
    </row>
    <row r="5" customFormat="false" ht="29" hidden="false" customHeight="true" outlineLevel="0" collapsed="false">
      <c r="A5" s="40" t="n">
        <f aca="false">SUMIFS('Product Sales'!$L$5:$L$104,'Product Sales'!$R$5:$R$104,"READY")+SUMIFS('Product Sales'!$M$5:$M$104,'Product Sales'!$R$5:$R$104,"READY")</f>
        <v>1474</v>
      </c>
      <c r="B5" s="40"/>
      <c r="C5" s="40"/>
      <c r="E5" s="40" t="n">
        <f aca="false">SUMIFS('Product Sales'!$M$5:$M$104,'Product Sales'!$R$5:$R$104,"READY")</f>
        <v>342</v>
      </c>
      <c r="F5" s="40"/>
      <c r="G5" s="40"/>
      <c r="I5" s="41" t="n">
        <f aca="false">IFERROR(E5/A5,0)</f>
        <v>0.23202170963365</v>
      </c>
      <c r="J5" s="41"/>
      <c r="K5" s="41"/>
      <c r="M5" s="42" t="n">
        <f aca="false">SUMIFS('Product Sales'!$D$5:$D$104,'Product Sales'!$R$5:$R$104,"READY")-SUMIFS('Product Sales'!$E$5:$E$104,'Product Sales'!$R$5:$R$104,"READY")</f>
        <v>43</v>
      </c>
      <c r="N5" s="42"/>
      <c r="O5" s="42"/>
    </row>
    <row r="6" customFormat="false" ht="29" hidden="false" customHeight="true" outlineLevel="0" collapsed="false">
      <c r="A6" s="40"/>
      <c r="B6" s="40"/>
      <c r="C6" s="40"/>
      <c r="E6" s="40"/>
      <c r="F6" s="40"/>
      <c r="G6" s="40"/>
      <c r="I6" s="41"/>
      <c r="J6" s="41"/>
      <c r="K6" s="41"/>
      <c r="M6" s="42"/>
      <c r="N6" s="42"/>
      <c r="O6" s="42"/>
    </row>
    <row r="10" customFormat="false" ht="34" hidden="false" customHeight="true" outlineLevel="0" collapsed="false">
      <c r="A10" s="12" t="s">
        <v>75</v>
      </c>
      <c r="B10" s="12" t="s">
        <v>46</v>
      </c>
      <c r="C10" s="12" t="s">
        <v>53</v>
      </c>
      <c r="D10" s="12" t="s">
        <v>54</v>
      </c>
      <c r="E10" s="12" t="s">
        <v>45</v>
      </c>
      <c r="F10" s="12" t="s">
        <v>55</v>
      </c>
      <c r="G10" s="12" t="s">
        <v>66</v>
      </c>
      <c r="H10" s="12" t="s">
        <v>57</v>
      </c>
    </row>
    <row r="11" customFormat="false" ht="22" hidden="false" customHeight="true" outlineLevel="0" collapsed="false">
      <c r="A11" s="14" t="str">
        <f aca="false">'Market Comparison'!A5</f>
        <v>Saturday Market</v>
      </c>
      <c r="B11" s="43" t="n">
        <f aca="false">'Market Comparison'!B5</f>
        <v>487</v>
      </c>
      <c r="C11" s="43" t="n">
        <f aca="false">'Market Comparison'!C5</f>
        <v>109</v>
      </c>
      <c r="D11" s="44" t="n">
        <f aca="false">'Market Comparison'!D5</f>
        <v>0.223819301848049</v>
      </c>
      <c r="E11" s="45" t="n">
        <f aca="false">'Market Comparison'!E5</f>
        <v>46</v>
      </c>
      <c r="F11" s="44" t="n">
        <f aca="false">'Market Comparison'!F5</f>
        <v>0.766666666666667</v>
      </c>
      <c r="G11" s="43" t="n">
        <f aca="false">'Market Comparison'!G5</f>
        <v>15.5714285714286</v>
      </c>
      <c r="H11" s="14" t="str">
        <f aca="false">'Market Comparison'!H5</f>
        <v>REVIEW</v>
      </c>
    </row>
    <row r="12" customFormat="false" ht="22" hidden="false" customHeight="true" outlineLevel="0" collapsed="false">
      <c r="A12" s="18" t="str">
        <f aca="false">'Market Comparison'!A6</f>
        <v>Riverside Pop-Up</v>
      </c>
      <c r="B12" s="46" t="n">
        <f aca="false">'Market Comparison'!B6</f>
        <v>478</v>
      </c>
      <c r="C12" s="46" t="n">
        <f aca="false">'Market Comparison'!C6</f>
        <v>182</v>
      </c>
      <c r="D12" s="47" t="n">
        <f aca="false">'Market Comparison'!D6</f>
        <v>0.380753138075314</v>
      </c>
      <c r="E12" s="48" t="n">
        <f aca="false">'Market Comparison'!E6</f>
        <v>44</v>
      </c>
      <c r="F12" s="47" t="n">
        <f aca="false">'Market Comparison'!F6</f>
        <v>0.88</v>
      </c>
      <c r="G12" s="46" t="n">
        <f aca="false">'Market Comparison'!G6</f>
        <v>36.4</v>
      </c>
      <c r="H12" s="18" t="str">
        <f aca="false">'Market Comparison'!H6</f>
        <v>MEETS TARGETS</v>
      </c>
    </row>
    <row r="13" customFormat="false" ht="22" hidden="false" customHeight="true" outlineLevel="0" collapsed="false">
      <c r="A13" s="18" t="str">
        <f aca="false">'Market Comparison'!A7</f>
        <v>Night Bazaar</v>
      </c>
      <c r="B13" s="46" t="n">
        <f aca="false">'Market Comparison'!B7</f>
        <v>509</v>
      </c>
      <c r="C13" s="46" t="n">
        <f aca="false">'Market Comparison'!C7</f>
        <v>51</v>
      </c>
      <c r="D13" s="47" t="n">
        <f aca="false">'Market Comparison'!D7</f>
        <v>0.100196463654224</v>
      </c>
      <c r="E13" s="48" t="n">
        <f aca="false">'Market Comparison'!E7</f>
        <v>47</v>
      </c>
      <c r="F13" s="47" t="n">
        <f aca="false">'Market Comparison'!F7</f>
        <v>0.671428571428571</v>
      </c>
      <c r="G13" s="46" t="n">
        <f aca="false">'Market Comparison'!G7</f>
        <v>6.375</v>
      </c>
      <c r="H13" s="18" t="str">
        <f aca="false">'Market Comparison'!H7</f>
        <v>REVIEW</v>
      </c>
    </row>
    <row r="14" customFormat="false" ht="22" hidden="false" customHeight="true" outlineLevel="0" collapsed="false">
      <c r="A14" s="18">
        <f aca="false">'Market Comparison'!A8</f>
      </c>
      <c r="B14" s="46" t="n">
        <f aca="false">'Market Comparison'!B8</f>
      </c>
      <c r="C14" s="46" t="n">
        <f aca="false">'Market Comparison'!C8</f>
      </c>
      <c r="D14" s="47">
        <f aca="false">'Market Comparison'!D8</f>
      </c>
      <c r="E14" s="48" t="n">
        <f aca="false">'Market Comparison'!E8</f>
      </c>
      <c r="F14" s="47">
        <f aca="false">'Market Comparison'!F8</f>
      </c>
      <c r="G14" s="46">
        <f aca="false">'Market Comparison'!G8</f>
      </c>
      <c r="H14" s="18">
        <f aca="false">'Market Comparison'!H8</f>
      </c>
    </row>
    <row r="15" customFormat="false" ht="22" hidden="false" customHeight="true" outlineLevel="0" collapsed="false">
      <c r="A15" s="18">
        <f aca="false">'Market Comparison'!A9</f>
      </c>
      <c r="B15" s="46" t="n">
        <f aca="false">'Market Comparison'!B9</f>
      </c>
      <c r="C15" s="46" t="n">
        <f aca="false">'Market Comparison'!C9</f>
      </c>
      <c r="D15" s="47" t="n">
        <f aca="false">'Market Comparison'!D9</f>
      </c>
      <c r="E15" s="48" t="n">
        <f aca="false">'Market Comparison'!E9</f>
      </c>
      <c r="F15" s="47" t="n">
        <f aca="false">'Market Comparison'!F9</f>
      </c>
      <c r="G15" s="46" t="n">
        <f aca="false">'Market Comparison'!G9</f>
      </c>
      <c r="H15" s="18">
        <f aca="false">'Market Comparison'!H9</f>
      </c>
    </row>
  </sheetData>
  <mergeCells count="10">
    <mergeCell ref="A1:N1"/>
    <mergeCell ref="A2:N2"/>
    <mergeCell ref="A4:C4"/>
    <mergeCell ref="E4:G4"/>
    <mergeCell ref="I4:K4"/>
    <mergeCell ref="M4:O4"/>
    <mergeCell ref="A5:C6"/>
    <mergeCell ref="E5:G6"/>
    <mergeCell ref="I5:K6"/>
    <mergeCell ref="M5:O6"/>
  </mergeCells>
  <conditionalFormatting sqref="H11:H15">
    <cfRule type="expression" priority="2" aboveAverage="0" equalAverage="0" bottom="0" percent="0" rank="0" text="" dxfId="10">
      <formula>H11="MEETS TARGETS"</formula>
    </cfRule>
    <cfRule type="expression" priority="3" aboveAverage="0" equalAverage="0" bottom="0" percent="0" rank="0" text="" dxfId="11">
      <formula>H11="REVIEW"</formula>
    </cfRule>
    <cfRule type="expression" priority="4" aboveAverage="0" equalAverage="0" bottom="0" percent="0" rank="0" text="" dxfId="12">
      <formula>H11="NEEDS REVIEW"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