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Costs" sheetId="2" state="visible" r:id="rId2"/>
    <sheet name="Results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b val="1"/>
      <color rgb="00FFFFFF"/>
      <sz val="10"/>
    </font>
    <font>
      <i val="1"/>
      <color rgb="00607D8B"/>
      <sz val="9"/>
    </font>
    <font>
      <b val="1"/>
    </font>
    <font>
      <b val="1"/>
      <color rgb="001B3A4B"/>
      <sz val="12"/>
    </font>
    <font>
      <b val="1"/>
      <color rgb="00C62828"/>
      <sz val="10"/>
    </font>
    <font>
      <b val="1"/>
      <color rgb="00C62828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1F3F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9" fontId="0" fillId="4" borderId="1" pivotButton="0" quotePrefix="0" xfId="0"/>
    <xf numFmtId="0" fontId="4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164" fontId="0" fillId="5" borderId="1" pivotButton="0" quotePrefix="0" xfId="0"/>
    <xf numFmtId="4" fontId="0" fillId="5" borderId="1" pivotButton="0" quotePrefix="0" xfId="0"/>
    <xf numFmtId="4" fontId="5" fillId="5" borderId="1" pivotButton="0" quotePrefix="0" xfId="0"/>
    <xf numFmtId="0" fontId="6" fillId="0" borderId="0" pivotButton="0" quotePrefix="0" xfId="0"/>
    <xf numFmtId="1" fontId="0" fillId="5" borderId="1" pivotButton="0" quotePrefix="0" xfId="0"/>
    <xf numFmtId="1" fontId="5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4" customWidth="1" min="4" max="4"/>
    <col width="15" customWidth="1" min="5" max="5"/>
    <col width="16" customWidth="1" min="6" max="6"/>
    <col width="34" customWidth="1" min="7" max="7"/>
  </cols>
  <sheetData>
    <row r="1">
      <c r="A1" s="1" t="inlineStr">
        <is>
          <t>Private Practice Planner</t>
        </is>
      </c>
    </row>
    <row r="3">
      <c r="A3" s="2" t="inlineStr">
        <is>
          <t>Setup</t>
        </is>
      </c>
      <c r="B3" s="3" t="n"/>
      <c r="C3" s="3" t="n"/>
      <c r="D3" s="3" t="n"/>
    </row>
    <row r="4">
      <c r="A4" t="inlineStr">
        <is>
          <t>Weeks worked per year</t>
        </is>
      </c>
      <c r="B4" s="4" t="n">
        <v>46</v>
      </c>
      <c r="D4" s="5" t="inlineStr">
        <is>
          <t>allow for time off</t>
        </is>
      </c>
    </row>
    <row r="5">
      <c r="A5" t="inlineStr">
        <is>
          <t>Currency</t>
        </is>
      </c>
      <c r="B5" s="6" t="inlineStr">
        <is>
          <t>$</t>
        </is>
      </c>
    </row>
    <row r="6">
      <c r="A6" t="inlineStr">
        <is>
          <t>Target take-home</t>
        </is>
      </c>
      <c r="B6" s="7" t="n">
        <v>60000</v>
      </c>
      <c r="D6" s="5" t="inlineStr">
        <is>
          <t>per year, after your tax set-aside</t>
        </is>
      </c>
    </row>
    <row r="7">
      <c r="A7" t="inlineStr">
        <is>
          <t>Tax set-aside</t>
        </is>
      </c>
      <c r="B7" s="8" t="n">
        <v>0.25</v>
      </c>
      <c r="D7" s="5" t="inlineStr">
        <is>
          <t>your own rate</t>
        </is>
      </c>
    </row>
    <row r="9">
      <c r="A9" s="2" t="inlineStr">
        <is>
          <t>Caseload</t>
        </is>
      </c>
      <c r="B9" s="3" t="n"/>
      <c r="C9" s="3" t="n"/>
      <c r="D9" s="3" t="n"/>
      <c r="E9" s="3" t="n"/>
      <c r="F9" s="3" t="n"/>
      <c r="G9" s="3" t="n"/>
    </row>
    <row r="11">
      <c r="A11" s="9" t="inlineStr">
        <is>
          <t>Fee tier</t>
        </is>
      </c>
      <c r="B11" s="9" t="inlineStr">
        <is>
          <t>Fee</t>
        </is>
      </c>
      <c r="C11" s="9" t="inlineStr">
        <is>
          <t>Sessions/week</t>
        </is>
      </c>
      <c r="D11" s="9" t="inlineStr">
        <is>
          <t>Attendance</t>
        </is>
      </c>
      <c r="E11" s="9" t="inlineStr">
        <is>
          <t>Attended/year</t>
        </is>
      </c>
      <c r="F11" s="9" t="inlineStr">
        <is>
          <t>Revenue/year</t>
        </is>
      </c>
      <c r="G11" s="9" t="inlineStr">
        <is>
          <t>Check</t>
        </is>
      </c>
    </row>
    <row r="12">
      <c r="A12" s="6" t="inlineStr">
        <is>
          <t>Full fee</t>
        </is>
      </c>
      <c r="B12" s="7" t="n">
        <v>150</v>
      </c>
      <c r="C12" s="10" t="n">
        <v>10</v>
      </c>
      <c r="D12" s="11" t="n">
        <v>1</v>
      </c>
      <c r="E12" s="12">
        <f>IF(OR($C12="",$D12=""),"",$C12*$D12*$B$4)</f>
        <v/>
      </c>
      <c r="F12" s="13">
        <f>IF(OR($B12="",$C12="",$D12=""),"",$B12*$C12*$D12*$B$4)</f>
        <v/>
      </c>
      <c r="G12" s="5">
        <f>IF(AND($A12="",$B12="",$C12="",$D12=""),"",IF($A12="","Name this tier.",IF($B12="","Enter a fee.",IF($C12="","Enter sessions per week.",IF($D12="","Enter an attendance rate.",IF($D12&gt;1,"Attendance cannot be above 100%.",IF($D12&lt;0,"Attendance cannot be below 0%.",IF($B12&lt;0,"Fee cannot be negative.",IF($C12&lt;0,"Sessions per week cannot be negative.","READY")))))))))</f>
        <v/>
      </c>
    </row>
    <row r="13">
      <c r="A13" s="6" t="inlineStr"/>
      <c r="B13" s="7" t="inlineStr"/>
      <c r="C13" s="10" t="inlineStr"/>
      <c r="D13" s="11" t="inlineStr"/>
      <c r="E13" s="12">
        <f>IF(OR($C13="",$D13=""),"",$C13*$D13*$B$4)</f>
        <v/>
      </c>
      <c r="F13" s="13">
        <f>IF(OR($B13="",$C13="",$D13=""),"",$B13*$C13*$D13*$B$4)</f>
        <v/>
      </c>
      <c r="G13" s="5">
        <f>IF(AND($A13="",$B13="",$C13="",$D13=""),"",IF($A13="","Name this tier.",IF($B13="","Enter a fee.",IF($C13="","Enter sessions per week.",IF($D13="","Enter an attendance rate.",IF($D13&gt;1,"Attendance cannot be above 100%.",IF($D13&lt;0,"Attendance cannot be below 0%.",IF($B13&lt;0,"Fee cannot be negative.",IF($C13&lt;0,"Sessions per week cannot be negative.","READY")))))))))</f>
        <v/>
      </c>
    </row>
    <row r="14">
      <c r="A14" s="6" t="inlineStr"/>
      <c r="B14" s="7" t="inlineStr"/>
      <c r="C14" s="10" t="inlineStr"/>
      <c r="D14" s="11" t="inlineStr"/>
      <c r="E14" s="12">
        <f>IF(OR($C14="",$D14=""),"",$C14*$D14*$B$4)</f>
        <v/>
      </c>
      <c r="F14" s="13">
        <f>IF(OR($B14="",$C14="",$D14=""),"",$B14*$C14*$D14*$B$4)</f>
        <v/>
      </c>
      <c r="G14" s="5">
        <f>IF(AND($A14="",$B14="",$C14="",$D14=""),"",IF($A14="","Name this tier.",IF($B14="","Enter a fee.",IF($C14="","Enter sessions per week.",IF($D14="","Enter an attendance rate.",IF($D14&gt;1,"Attendance cannot be above 100%.",IF($D14&lt;0,"Attendance cannot be below 0%.",IF($B14&lt;0,"Fee cannot be negative.",IF($C14&lt;0,"Sessions per week cannot be negative.","READY")))))))))</f>
        <v/>
      </c>
    </row>
    <row r="15">
      <c r="A15" s="6" t="inlineStr"/>
      <c r="B15" s="7" t="inlineStr"/>
      <c r="C15" s="10" t="inlineStr"/>
      <c r="D15" s="11" t="inlineStr"/>
      <c r="E15" s="12">
        <f>IF(OR($C15="",$D15=""),"",$C15*$D15*$B$4)</f>
        <v/>
      </c>
      <c r="F15" s="13">
        <f>IF(OR($B15="",$C15="",$D15=""),"",$B15*$C15*$D15*$B$4)</f>
        <v/>
      </c>
      <c r="G15" s="5">
        <f>IF(AND($A15="",$B15="",$C15="",$D15=""),"",IF($A15="","Name this tier.",IF($B15="","Enter a fee.",IF($C15="","Enter sessions per week.",IF($D15="","Enter an attendance rate.",IF($D15&gt;1,"Attendance cannot be above 100%.",IF($D15&lt;0,"Attendance cannot be below 0%.",IF($B15&lt;0,"Fee cannot be negative.",IF($C15&lt;0,"Sessions per week cannot be negative.","READY")))))))))</f>
        <v/>
      </c>
    </row>
    <row r="16">
      <c r="A16" s="6" t="inlineStr"/>
      <c r="B16" s="7" t="inlineStr"/>
      <c r="C16" s="10" t="inlineStr"/>
      <c r="D16" s="11" t="inlineStr"/>
      <c r="E16" s="12">
        <f>IF(OR($C16="",$D16=""),"",$C16*$D16*$B$4)</f>
        <v/>
      </c>
      <c r="F16" s="13">
        <f>IF(OR($B16="",$C16="",$D16=""),"",$B16*$C16*$D16*$B$4)</f>
        <v/>
      </c>
      <c r="G16" s="5">
        <f>IF(AND($A16="",$B16="",$C16="",$D16=""),"",IF($A16="","Name this tier.",IF($B16="","Enter a fee.",IF($C16="","Enter sessions per week.",IF($D16="","Enter an attendance rate.",IF($D16&gt;1,"Attendance cannot be above 100%.",IF($D16&lt;0,"Attendance cannot be below 0%.",IF($B16&lt;0,"Fee cannot be negative.",IF($C16&lt;0,"Sessions per week cannot be negative.","READY")))))))))</f>
        <v/>
      </c>
    </row>
    <row r="17">
      <c r="A17" s="6" t="inlineStr"/>
      <c r="B17" s="7" t="inlineStr"/>
      <c r="C17" s="10" t="inlineStr"/>
      <c r="D17" s="11" t="inlineStr"/>
      <c r="E17" s="12">
        <f>IF(OR($C17="",$D17=""),"",$C17*$D17*$B$4)</f>
        <v/>
      </c>
      <c r="F17" s="13">
        <f>IF(OR($B17="",$C17="",$D17=""),"",$B17*$C17*$D17*$B$4)</f>
        <v/>
      </c>
      <c r="G17" s="5">
        <f>IF(AND($A17="",$B17="",$C17="",$D17=""),"",IF($A17="","Name this tier.",IF($B17="","Enter a fee.",IF($C17="","Enter sessions per week.",IF($D17="","Enter an attendance rate.",IF($D17&gt;1,"Attendance cannot be above 100%.",IF($D17&lt;0,"Attendance cannot be below 0%.",IF($B17&lt;0,"Fee cannot be negative.",IF($C17&lt;0,"Sessions per week cannot be negative.","READY")))))))))</f>
        <v/>
      </c>
    </row>
    <row r="19">
      <c r="A19" s="2" t="inlineStr">
        <is>
          <t>Totals</t>
        </is>
      </c>
      <c r="B19" s="3" t="n"/>
      <c r="C19" s="3" t="n"/>
      <c r="D19" s="3" t="n"/>
    </row>
    <row r="20">
      <c r="A20" t="inlineStr">
        <is>
          <t>Sessions per week</t>
        </is>
      </c>
      <c r="B20" s="12">
        <f>SUM($C$12:$C$17)</f>
        <v/>
      </c>
    </row>
    <row r="21">
      <c r="A21" t="inlineStr">
        <is>
          <t>Sessions attended per year</t>
        </is>
      </c>
      <c r="B21" s="12">
        <f>SUM($E$12:$E$17)</f>
        <v/>
      </c>
    </row>
    <row r="22">
      <c r="A22" t="inlineStr">
        <is>
          <t>Revenue per year</t>
        </is>
      </c>
      <c r="B22" s="14">
        <f>SUM($F$12:$F$17)</f>
        <v/>
      </c>
    </row>
    <row r="23">
      <c r="A23" t="inlineStr">
        <is>
          <t>Average fee per session held</t>
        </is>
      </c>
      <c r="B23" s="13">
        <f>IFERROR($B$22/$B$21,"")</f>
        <v/>
      </c>
      <c r="D23" s="5" t="inlineStr">
        <is>
          <t>revenue ÷ sessions attended</t>
        </is>
      </c>
    </row>
    <row r="24">
      <c r="A24" t="inlineStr">
        <is>
          <t>Average per slot on the calendar</t>
        </is>
      </c>
      <c r="B24" s="13">
        <f>IFERROR($B$22/($B$20*$B$4),"")</f>
        <v/>
      </c>
      <c r="D24" s="5" t="inlineStr">
        <is>
          <t>counts the no-shows</t>
        </is>
      </c>
    </row>
    <row r="26">
      <c r="B26" s="15">
        <f>IF($B$20=0,"Enter at least one fee tier with sessions per week.","")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" customWidth="1" min="3" max="3"/>
    <col width="34" customWidth="1" min="4" max="4"/>
  </cols>
  <sheetData>
    <row r="1">
      <c r="A1" s="1" t="inlineStr">
        <is>
          <t>Costs</t>
        </is>
      </c>
    </row>
    <row r="3">
      <c r="A3" s="2" t="inlineStr">
        <is>
          <t>Every month</t>
        </is>
      </c>
      <c r="B3" s="3" t="n"/>
      <c r="C3" s="3" t="n"/>
      <c r="D3" s="3" t="n"/>
    </row>
    <row r="4">
      <c r="A4" s="9" t="inlineStr">
        <is>
          <t>Item</t>
        </is>
      </c>
      <c r="B4" s="9" t="inlineStr">
        <is>
          <t>Per month</t>
        </is>
      </c>
    </row>
    <row r="5">
      <c r="A5" s="6" t="inlineStr">
        <is>
          <t>Office rent</t>
        </is>
      </c>
      <c r="B5" s="7" t="n">
        <v>600</v>
      </c>
    </row>
    <row r="6">
      <c r="A6" s="6" t="inlineStr">
        <is>
          <t>Practice software</t>
        </is>
      </c>
      <c r="B6" s="7" t="n">
        <v>69</v>
      </c>
    </row>
    <row r="7">
      <c r="A7" s="6" t="inlineStr">
        <is>
          <t>Phone and internet</t>
        </is>
      </c>
      <c r="B7" s="7" t="n">
        <v>45</v>
      </c>
    </row>
    <row r="8">
      <c r="A8" s="6" t="inlineStr">
        <is>
          <t>Clinical supervision</t>
        </is>
      </c>
      <c r="B8" s="7" t="n">
        <v>150</v>
      </c>
    </row>
    <row r="9">
      <c r="A9" s="6" t="inlineStr">
        <is>
          <t>Bookkeeping</t>
        </is>
      </c>
      <c r="B9" s="7" t="n">
        <v>60</v>
      </c>
    </row>
    <row r="10">
      <c r="A10" s="6" t="inlineStr">
        <is>
          <t>Directory listings</t>
        </is>
      </c>
      <c r="B10" s="7" t="n">
        <v>30</v>
      </c>
    </row>
    <row r="11">
      <c r="A11" s="6" t="inlineStr">
        <is>
          <t>Other</t>
        </is>
      </c>
      <c r="B11" s="7" t="n">
        <v>0</v>
      </c>
    </row>
    <row r="12">
      <c r="A12" s="6" t="inlineStr"/>
      <c r="B12" s="7" t="inlineStr"/>
    </row>
    <row r="13">
      <c r="A13" s="6" t="inlineStr"/>
      <c r="B13" s="7" t="inlineStr"/>
    </row>
    <row r="14">
      <c r="A14" s="6" t="inlineStr"/>
      <c r="B14" s="7" t="inlineStr"/>
    </row>
    <row r="16">
      <c r="A16" t="inlineStr">
        <is>
          <t>Monthly total</t>
        </is>
      </c>
      <c r="B16" s="13">
        <f>SUM($B$5:$B$14)</f>
        <v/>
      </c>
    </row>
    <row r="18">
      <c r="A18" s="2" t="inlineStr">
        <is>
          <t>Once a year</t>
        </is>
      </c>
      <c r="B18" s="3" t="n"/>
      <c r="C18" s="3" t="n"/>
      <c r="D18" s="3" t="n"/>
    </row>
    <row r="19">
      <c r="A19" s="9" t="inlineStr">
        <is>
          <t>Item</t>
        </is>
      </c>
      <c r="B19" s="9" t="inlineStr">
        <is>
          <t>Per year</t>
        </is>
      </c>
    </row>
    <row r="20">
      <c r="A20" s="6" t="inlineStr">
        <is>
          <t>Liability insurance</t>
        </is>
      </c>
      <c r="B20" s="7" t="n">
        <v>600</v>
      </c>
    </row>
    <row r="21">
      <c r="A21" s="6" t="inlineStr">
        <is>
          <t>License renewal</t>
        </is>
      </c>
      <c r="B21" s="7" t="n">
        <v>200</v>
      </c>
    </row>
    <row r="22">
      <c r="A22" s="6" t="inlineStr">
        <is>
          <t>Continuing education</t>
        </is>
      </c>
      <c r="B22" s="7" t="n">
        <v>500</v>
      </c>
    </row>
    <row r="23">
      <c r="A23" s="6" t="inlineStr">
        <is>
          <t>Professional membership</t>
        </is>
      </c>
      <c r="B23" s="7" t="n">
        <v>300</v>
      </c>
    </row>
    <row r="24">
      <c r="A24" s="6" t="inlineStr">
        <is>
          <t>Other</t>
        </is>
      </c>
      <c r="B24" s="7" t="n">
        <v>0</v>
      </c>
    </row>
    <row r="25">
      <c r="A25" s="6" t="inlineStr"/>
      <c r="B25" s="7" t="inlineStr"/>
    </row>
    <row r="26">
      <c r="A26" s="6" t="inlineStr"/>
      <c r="B26" s="7" t="inlineStr"/>
    </row>
    <row r="27">
      <c r="A27" s="6" t="inlineStr"/>
      <c r="B27" s="7" t="inlineStr"/>
    </row>
    <row r="29">
      <c r="A29" t="inlineStr">
        <is>
          <t>Annual total</t>
        </is>
      </c>
      <c r="B29" s="13">
        <f>SUM($B$20:$B$27)</f>
        <v/>
      </c>
    </row>
    <row r="31">
      <c r="A31" s="2" t="inlineStr">
        <is>
          <t>Total</t>
        </is>
      </c>
      <c r="B31" s="3" t="n"/>
      <c r="C31" s="3" t="n"/>
      <c r="D31" s="3" t="n"/>
    </row>
    <row r="32">
      <c r="A32" t="inlineStr">
        <is>
          <t>Costs per year</t>
        </is>
      </c>
      <c r="B32" s="14">
        <f>$B$16*12+$B$29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34" customWidth="1" min="4" max="4"/>
  </cols>
  <sheetData>
    <row r="1">
      <c r="A1" s="1" t="inlineStr">
        <is>
          <t>Results</t>
        </is>
      </c>
    </row>
    <row r="3">
      <c r="A3" s="2" t="inlineStr">
        <is>
          <t>As things stand</t>
        </is>
      </c>
      <c r="B3" s="3" t="n"/>
      <c r="C3" s="3" t="n"/>
      <c r="D3" s="3" t="n"/>
    </row>
    <row r="4">
      <c r="A4" t="inlineStr">
        <is>
          <t>Revenue</t>
        </is>
      </c>
      <c r="B4" s="13">
        <f>'Practice'!$B$22</f>
        <v/>
      </c>
    </row>
    <row r="5">
      <c r="A5" t="inlineStr">
        <is>
          <t>Costs</t>
        </is>
      </c>
      <c r="B5" s="13">
        <f>'Costs'!$B$32</f>
        <v/>
      </c>
    </row>
    <row r="6">
      <c r="A6" t="inlineStr">
        <is>
          <t>Before tax</t>
        </is>
      </c>
      <c r="B6" s="13">
        <f>IF(OR($B$4="",$B$5=""),"",$B$4-$B$5)</f>
        <v/>
      </c>
    </row>
    <row r="7">
      <c r="A7" t="inlineStr">
        <is>
          <t>Tax set-aside</t>
        </is>
      </c>
      <c r="B7" s="13">
        <f>IF($B$6="","",MAX(0,$B$6)*'Practice'!$B$7)</f>
        <v/>
      </c>
    </row>
    <row r="8">
      <c r="A8" t="inlineStr">
        <is>
          <t>Take-home</t>
        </is>
      </c>
      <c r="B8" s="14">
        <f>IF($B$6="","",$B$6-$B$7)</f>
        <v/>
      </c>
    </row>
    <row r="9">
      <c r="A9" t="inlineStr">
        <is>
          <t>Target</t>
        </is>
      </c>
      <c r="B9" s="13">
        <f>'Practice'!$B$6</f>
        <v/>
      </c>
    </row>
    <row r="10">
      <c r="A10" t="inlineStr">
        <is>
          <t>Difference</t>
        </is>
      </c>
      <c r="B10" s="13">
        <f>IF($B$8="","",$B$8-$B$9)</f>
        <v/>
      </c>
      <c r="D10" s="5" t="inlineStr">
        <is>
          <t>negative means short of target</t>
        </is>
      </c>
    </row>
    <row r="12">
      <c r="A12" s="2" t="inlineStr">
        <is>
          <t>What the target needs</t>
        </is>
      </c>
      <c r="B12" s="3" t="n"/>
      <c r="C12" s="3" t="n"/>
      <c r="D12" s="3" t="n"/>
    </row>
    <row r="13">
      <c r="A13" t="inlineStr">
        <is>
          <t>Revenue needed</t>
        </is>
      </c>
      <c r="B13" s="13">
        <f>IFERROR('Practice'!$B$6/(1-'Practice'!$B$7)+'Costs'!$B$32,"")</f>
        <v/>
      </c>
    </row>
    <row r="14">
      <c r="A14" t="inlineStr">
        <is>
          <t>Sessions to cover costs</t>
        </is>
      </c>
      <c r="B14" s="16">
        <f>IFERROR(ROUNDUP('Costs'!$B$32/'Practice'!$B$23,0),"")</f>
        <v/>
      </c>
      <c r="D14" s="5" t="inlineStr">
        <is>
          <t>held sessions per year</t>
        </is>
      </c>
    </row>
    <row r="15">
      <c r="A15" t="inlineStr">
        <is>
          <t>Sessions to reach target</t>
        </is>
      </c>
      <c r="B15" s="16">
        <f>IFERROR(ROUNDUP($B$13/'Practice'!$B$23,0),"")</f>
        <v/>
      </c>
      <c r="D15" s="5" t="inlineStr">
        <is>
          <t>held sessions per year</t>
        </is>
      </c>
    </row>
    <row r="16">
      <c r="A16" t="inlineStr">
        <is>
          <t>Slots per week to reach target</t>
        </is>
      </c>
      <c r="B16" s="16">
        <f>IFERROR(ROUNDUP($B$13/('Practice'!$B$24*'Practice'!$B$4),0),"")</f>
        <v/>
      </c>
      <c r="D16" s="5" t="inlineStr">
        <is>
          <t>counts the no-shows</t>
        </is>
      </c>
    </row>
    <row r="17">
      <c r="B17" s="15">
        <f>IF('Practice'!$B$7&gt;=1,"A tax set-aside of 100% or more leaves nothing to take home.","")</f>
        <v/>
      </c>
    </row>
    <row r="19">
      <c r="A19" s="2" t="inlineStr">
        <is>
          <t>How many reduced-fee slots you can carry</t>
        </is>
      </c>
      <c r="B19" s="3" t="n"/>
      <c r="C19" s="3" t="n"/>
      <c r="D19" s="3" t="n"/>
    </row>
    <row r="20">
      <c r="A20" t="inlineStr">
        <is>
          <t>Full fee</t>
        </is>
      </c>
      <c r="B20" s="7" t="n">
        <v>150</v>
      </c>
    </row>
    <row r="21">
      <c r="A21" t="inlineStr">
        <is>
          <t>Reduced fee</t>
        </is>
      </c>
      <c r="B21" s="7" t="n">
        <v>80</v>
      </c>
    </row>
    <row r="22">
      <c r="A22" t="inlineStr">
        <is>
          <t>Slots per week</t>
        </is>
      </c>
      <c r="B22" s="10" t="n">
        <v>22</v>
      </c>
    </row>
    <row r="23">
      <c r="A23" t="inlineStr">
        <is>
          <t>Attendance</t>
        </is>
      </c>
      <c r="B23" s="11" t="n">
        <v>0.9</v>
      </c>
    </row>
    <row r="24">
      <c r="A24" t="inlineStr">
        <is>
          <t>Reduced-fee slots</t>
        </is>
      </c>
      <c r="B24" s="17">
        <f>IFERROR(IF(OR($B$20="",$B$21="",$B$22="",$B$23="",$B$13=""),"",IF($B$20&lt;=$B$21,"",ROUNDDOWN(MIN($B$22,MAX(0,($B$22*$B$20-$B$13/('Practice'!$B$4*$B$23))/($B$20-$B$21))),0))),"")</f>
        <v/>
      </c>
      <c r="D24" s="5" t="inlineStr">
        <is>
          <t>and still reach the target</t>
        </is>
      </c>
    </row>
    <row r="25">
      <c r="B25" s="15">
        <f>IF(OR($B$20="",$B$21="",$B$22="",$B$23=""),"",IF($B$20&lt;=$B$21,"The reduced fee has to be below the full fee.",IF($B$24="","",IF($B$24&lt;=0,"At this target every slot needs to be at the full fee.",IF($B$24&gt;=$B$22,"The target is covered even with every slot at the reduced fee.","")))))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8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18" t="inlineStr">
        <is>
          <t>Not advice</t>
        </is>
      </c>
      <c r="C4" t="inlineStr">
        <is>
          <t>Arithmetic on the numbers you enter. It does not recommend a fee, a tax rate, a caseload or a sliding-scale policy.</t>
        </is>
      </c>
    </row>
    <row r="5">
      <c r="A5" t="inlineStr">
        <is>
          <t>No clinical content</t>
        </is>
      </c>
      <c r="C5" t="inlineStr">
        <is>
          <t>Nothing here concerns a client, a diagnosis or a treatment.</t>
        </is>
      </c>
    </row>
    <row r="6">
      <c r="A6" t="inlineStr">
        <is>
          <t>Not a tax return</t>
        </is>
      </c>
      <c r="C6" t="inlineStr">
        <is>
          <t>The tax set-aside is a rate you choose. Check it with your accountant.</t>
        </is>
      </c>
    </row>
    <row r="8">
      <c r="A8" s="2" t="inlineStr">
        <is>
          <t>Terms</t>
        </is>
      </c>
      <c r="B8" s="3" t="n"/>
      <c r="C8" s="3" t="n"/>
    </row>
    <row r="9">
      <c r="A9" s="9" t="inlineStr">
        <is>
          <t>Session held</t>
        </is>
      </c>
      <c r="C9" t="inlineStr">
        <is>
          <t>A session that actually happened. No-shows are not held sessions.</t>
        </is>
      </c>
    </row>
    <row r="10">
      <c r="A10" s="9" t="inlineStr">
        <is>
          <t>Slot</t>
        </is>
      </c>
      <c r="C10" t="inlineStr">
        <is>
          <t>A place on your calendar. Some slots do not become held sessions.</t>
        </is>
      </c>
    </row>
    <row r="11">
      <c r="A11" s="9" t="inlineStr">
        <is>
          <t>Attendance</t>
        </is>
      </c>
      <c r="C11" t="inlineStr">
        <is>
          <t>Held sessions ÷ slots. 90% means one slot in ten does not happen.</t>
        </is>
      </c>
    </row>
    <row r="12">
      <c r="A12" s="9" t="inlineStr">
        <is>
          <t>Average per slot</t>
        </is>
      </c>
      <c r="C12" t="inlineStr">
        <is>
          <t>What a calendar slot is worth on average once no-shows are counted.</t>
        </is>
      </c>
    </row>
    <row r="13">
      <c r="A13" s="9" t="inlineStr">
        <is>
          <t>Take-home</t>
        </is>
      </c>
      <c r="C13" t="inlineStr">
        <is>
          <t>Revenue minus costs minus your tax set-aside.</t>
        </is>
      </c>
    </row>
    <row r="14">
      <c r="A14" s="9" t="inlineStr">
        <is>
          <t>Reduced-fee slots</t>
        </is>
      </c>
      <c r="C14" t="inlineStr">
        <is>
          <t>How many slots can be at the reduced fee with the target still reached.</t>
        </is>
      </c>
    </row>
    <row r="16">
      <c r="A16" s="2" t="inlineStr">
        <is>
          <t>Editable assumptions</t>
        </is>
      </c>
      <c r="B16" s="3" t="n"/>
      <c r="C16" s="3" t="n"/>
    </row>
    <row r="17">
      <c r="A17" s="9" t="inlineStr">
        <is>
          <t>Assumption</t>
        </is>
      </c>
      <c r="B17" s="9" t="inlineStr">
        <is>
          <t>Default</t>
        </is>
      </c>
      <c r="C17" s="9" t="inlineStr">
        <is>
          <t>Change it on</t>
        </is>
      </c>
    </row>
    <row r="18">
      <c r="A18" t="inlineStr">
        <is>
          <t>Weeks worked per year</t>
        </is>
      </c>
      <c r="B18" t="inlineStr">
        <is>
          <t>46</t>
        </is>
      </c>
      <c r="C18" t="inlineStr">
        <is>
          <t>Practice</t>
        </is>
      </c>
    </row>
    <row r="19">
      <c r="A19" t="inlineStr">
        <is>
          <t>Tax set-aside</t>
        </is>
      </c>
      <c r="B19" t="inlineStr">
        <is>
          <t>25%</t>
        </is>
      </c>
      <c r="C19" t="inlineStr">
        <is>
          <t>Practice · your own rate</t>
        </is>
      </c>
    </row>
    <row r="20">
      <c r="A20" t="inlineStr">
        <is>
          <t>Attendance per tier</t>
        </is>
      </c>
      <c r="B20" t="inlineStr">
        <is>
          <t>85-90%</t>
        </is>
      </c>
      <c r="C20" t="inlineStr">
        <is>
          <t>Practice · use your own history</t>
        </is>
      </c>
    </row>
    <row r="21">
      <c r="A21" t="inlineStr">
        <is>
          <t>Fee tiers</t>
        </is>
      </c>
      <c r="B21" t="inlineStr">
        <is>
          <t>4 shown, 6 available</t>
        </is>
      </c>
      <c r="C21" t="inlineStr">
        <is>
          <t>Practice</t>
        </is>
      </c>
    </row>
    <row r="23">
      <c r="A23" s="2" t="inlineStr">
        <is>
          <t>Cell colors</t>
        </is>
      </c>
      <c r="B23" s="3" t="n"/>
      <c r="C23" s="3" t="n"/>
    </row>
    <row r="24">
      <c r="A24" s="6" t="n"/>
      <c r="C24" t="inlineStr">
        <is>
          <t>Enter your own numbers</t>
        </is>
      </c>
    </row>
    <row r="25">
      <c r="A25" s="19" t="n"/>
      <c r="C25" t="inlineStr">
        <is>
          <t>Calculated automatically</t>
        </is>
      </c>
    </row>
    <row r="26">
      <c r="A26" s="20" t="n"/>
      <c r="C2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2026-09-03T18:18:05Z</dcterms:created>
  <dcterms:modified xsi:type="dcterms:W3CDTF">2026-09-03T18:18:05Z</dcterms:modified>
</cp:coreProperties>
</file>